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tables/table1.xml" ContentType="application/vnd.openxmlformats-officedocument.spreadsheetml.table+xml"/>
  <Override PartName="/xl/drawings/drawing4.xml" ContentType="application/vnd.openxmlformats-officedocument.drawing+xml"/>
  <Override PartName="/xl/pivotTables/pivotTable2.xml" ContentType="application/vnd.openxmlformats-officedocument.spreadsheetml.pivotTable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827" codeName="{2E6947BB-A706-504E-29CB-9DD9B7763434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369bc051fc984b34/바탕 화면/"/>
    </mc:Choice>
  </mc:AlternateContent>
  <xr:revisionPtr revIDLastSave="286" documentId="8_{7C6BDC6A-8333-4E9D-807F-CAA059A3963C}" xr6:coauthVersionLast="45" xr6:coauthVersionMax="45" xr10:uidLastSave="{B8F46CC2-6F6C-4301-BBAA-CA1EE71F8323}"/>
  <bookViews>
    <workbookView xWindow="25905" yWindow="5265" windowWidth="22500" windowHeight="12705" tabRatio="944" firstSheet="1" activeTab="2" xr2:uid="{42DDC16F-9765-484F-9D68-002DDE801E73}"/>
  </bookViews>
  <sheets>
    <sheet name="자동필터" sheetId="11" state="hidden" r:id="rId1"/>
    <sheet name="개요" sheetId="15" r:id="rId2"/>
    <sheet name="Filter함수_조건1개" sheetId="16" r:id="rId3"/>
    <sheet name="Unique함수" sheetId="3" state="hidden" r:id="rId4"/>
    <sheet name="Filter함수_조건1개 (2)" sheetId="17" r:id="rId5"/>
    <sheet name="필드가 많을때" sheetId="14" r:id="rId6"/>
    <sheet name="피벗테이블" sheetId="13" state="hidden" r:id="rId7"/>
    <sheet name="Filter함수_필요한열만" sheetId="2" r:id="rId8"/>
    <sheet name="Filter함수_조건2개" sheetId="5" r:id="rId9"/>
    <sheet name="Filter함수_조건응용" sheetId="6" r:id="rId10"/>
    <sheet name="Filter함수_Sort함수함께사용" sheetId="7" r:id="rId11"/>
    <sheet name="고급필터&amp;매크로_조건1개" sheetId="9" r:id="rId12"/>
    <sheet name="고급필터&amp;매크로_조건2개" sheetId="10" r:id="rId13"/>
    <sheet name="Sheet1" sheetId="12" state="hidden" r:id="rId14"/>
    <sheet name="인수설명" sheetId="8" state="hidden" r:id="rId15"/>
  </sheets>
  <definedNames>
    <definedName name="_xlnm._FilterDatabase" localSheetId="11" hidden="1">'고급필터&amp;매크로_조건1개'!$B$4:$J$83</definedName>
    <definedName name="_xlnm._FilterDatabase" localSheetId="12" hidden="1">'고급필터&amp;매크로_조건2개'!$B$7:$H$1006</definedName>
    <definedName name="_xlnm._FilterDatabase" localSheetId="0" hidden="1">자동필터!$B$4:$J$84</definedName>
    <definedName name="_xlnm._FilterDatabase" localSheetId="5" hidden="1">'필드가 많을때'!$B$2:$AJ$82</definedName>
    <definedName name="_xlnm.Criteria" localSheetId="11">'고급필터&amp;매크로_조건1개'!$M$1:$M$2</definedName>
    <definedName name="_xlnm.Criteria" localSheetId="12">'고급필터&amp;매크로_조건2개'!$B$2:$E$3</definedName>
    <definedName name="_xlnm.Extract" localSheetId="11">'고급필터&amp;매크로_조건1개'!$L$4:$Q$4</definedName>
    <definedName name="_xlnm.Extract" localSheetId="12">'고급필터&amp;매크로_조건2개'!$J$12:$N$12</definedName>
    <definedName name="고급필터매크로">OFFSET('고급필터&amp;매크로_조건1개'!$B$4,,,COUNTA('고급필터&amp;매크로_조건1개'!$B:$B)-1,9)</definedName>
    <definedName name="고급필터조건">'고급필터&amp;매크로_조건1개'!$M$1:$M$2</definedName>
    <definedName name="고급필터조건2">'고급필터&amp;매크로_조건2개'!$B$2:$E$3</definedName>
    <definedName name="고급필터참조범위">OFFSET('고급필터&amp;매크로_조건1개'!$B$4,,,COUNTA('고급필터&amp;매크로_조건1개'!$B:$B)-2,9)</definedName>
    <definedName name="고급필터참조범위2">OFFSET('고급필터&amp;매크로_조건2개'!$B$7,,,COUNTA('고급필터&amp;매크로_조건2개'!$B:$B)-5,7)</definedName>
    <definedName name="소속명">OFFSET(Unique함수!$B$4,,,COUNTA(Unique함수!$B:$B)-2,1)</definedName>
  </definedNames>
  <calcPr calcId="191029"/>
  <pivotCaches>
    <pivotCache cacheId="0" r:id="rId16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N5" i="16" l="1" a="1"/>
  <c r="N5" i="16" s="1"/>
  <c r="L5" i="16" a="1"/>
  <c r="L5" i="16" s="1"/>
  <c r="B2" i="3" l="1" a="1"/>
  <c r="B2" i="3" s="1"/>
  <c r="L5" i="6" l="1" a="1"/>
  <c r="L5" i="6" s="1"/>
  <c r="M5" i="2" a="1"/>
  <c r="M5" i="2" s="1"/>
  <c r="L5" i="2" a="1"/>
  <c r="L5" i="2" s="1"/>
  <c r="L5" i="7" l="1" a="1"/>
  <c r="L5" i="7" s="1"/>
  <c r="L5" i="5" l="1" a="1"/>
  <c r="L5" i="5" s="1"/>
  <c r="E3" i="10" l="1"/>
  <c r="D3" i="10"/>
  <c r="B3" i="10"/>
  <c r="C4" i="10"/>
  <c r="C3" i="10"/>
  <c r="B4" i="10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<sst xmlns="http://schemas.openxmlformats.org/spreadsheetml/2006/main" count="9455" uniqueCount="304">
  <si>
    <t>성명</t>
  </si>
  <si>
    <t>소속</t>
  </si>
  <si>
    <t>직위</t>
  </si>
  <si>
    <t>성별</t>
  </si>
  <si>
    <t>입사일자</t>
  </si>
  <si>
    <t>A고과</t>
  </si>
  <si>
    <t>B고과</t>
  </si>
  <si>
    <t>합계</t>
  </si>
  <si>
    <t>평균</t>
  </si>
  <si>
    <t>강감찬</t>
  </si>
  <si>
    <t>구매팀</t>
  </si>
  <si>
    <t>사원</t>
  </si>
  <si>
    <t>남</t>
  </si>
  <si>
    <t>계백</t>
  </si>
  <si>
    <t>기획팀</t>
  </si>
  <si>
    <t>여</t>
  </si>
  <si>
    <t>곽재우</t>
  </si>
  <si>
    <t>생산관리팀</t>
  </si>
  <si>
    <t>관창</t>
  </si>
  <si>
    <t>광개토</t>
  </si>
  <si>
    <t>부장</t>
  </si>
  <si>
    <t>권율</t>
  </si>
  <si>
    <t>영업1팀</t>
  </si>
  <si>
    <t>대리</t>
  </si>
  <si>
    <t>김대건</t>
  </si>
  <si>
    <t>경영정보팀</t>
  </si>
  <si>
    <t>김두한</t>
  </si>
  <si>
    <t>영업2팀</t>
  </si>
  <si>
    <t>김부식</t>
  </si>
  <si>
    <t>개발팀</t>
  </si>
  <si>
    <t>김삿갓</t>
  </si>
  <si>
    <t>차장</t>
  </si>
  <si>
    <t>김옥균</t>
  </si>
  <si>
    <t>김유신</t>
  </si>
  <si>
    <t>김정호</t>
  </si>
  <si>
    <t>과장</t>
  </si>
  <si>
    <t>논개</t>
  </si>
  <si>
    <t>단군</t>
  </si>
  <si>
    <t>총무팀</t>
  </si>
  <si>
    <t>단원</t>
  </si>
  <si>
    <t>대조영</t>
  </si>
  <si>
    <t>동명왕</t>
  </si>
  <si>
    <t>맹사성</t>
  </si>
  <si>
    <t>문무왕</t>
  </si>
  <si>
    <t>문익점</t>
  </si>
  <si>
    <t>박문수</t>
  </si>
  <si>
    <t>박혁거세</t>
  </si>
  <si>
    <t>방정환</t>
  </si>
  <si>
    <t>백결</t>
  </si>
  <si>
    <t>사육신</t>
  </si>
  <si>
    <t>삼학사</t>
  </si>
  <si>
    <t>생육신</t>
  </si>
  <si>
    <t>서희</t>
  </si>
  <si>
    <t>운영팀</t>
  </si>
  <si>
    <t>손병희</t>
  </si>
  <si>
    <t>신사임당</t>
  </si>
  <si>
    <t>신숙주</t>
  </si>
  <si>
    <t>안중근</t>
  </si>
  <si>
    <t>안창호</t>
  </si>
  <si>
    <t>영조</t>
  </si>
  <si>
    <t>오세재</t>
  </si>
  <si>
    <t>온조왕</t>
  </si>
  <si>
    <t>원효</t>
  </si>
  <si>
    <t>유관순</t>
  </si>
  <si>
    <t>윤동주</t>
  </si>
  <si>
    <t>의자왕</t>
  </si>
  <si>
    <t>의천</t>
  </si>
  <si>
    <t>이담지</t>
  </si>
  <si>
    <t>홍보팀</t>
  </si>
  <si>
    <t>이사부</t>
  </si>
  <si>
    <t>이상</t>
  </si>
  <si>
    <t>이수일</t>
  </si>
  <si>
    <t>이순신</t>
  </si>
  <si>
    <t>이완이</t>
  </si>
  <si>
    <t>이율곡</t>
  </si>
  <si>
    <t>이인로</t>
  </si>
  <si>
    <t>이중섭</t>
  </si>
  <si>
    <t>이퇴계</t>
  </si>
  <si>
    <t>일연</t>
  </si>
  <si>
    <t>임꺽정</t>
  </si>
  <si>
    <t>임춘</t>
  </si>
  <si>
    <t>장보고</t>
  </si>
  <si>
    <t>장영실</t>
  </si>
  <si>
    <t>전봉준</t>
  </si>
  <si>
    <t>정약용</t>
  </si>
  <si>
    <t>정조</t>
  </si>
  <si>
    <t>정중부</t>
  </si>
  <si>
    <t>조통</t>
  </si>
  <si>
    <t>지석영</t>
  </si>
  <si>
    <t>최무선</t>
  </si>
  <si>
    <t>최영</t>
  </si>
  <si>
    <t>최충</t>
  </si>
  <si>
    <t>태조</t>
  </si>
  <si>
    <t>한석봉</t>
  </si>
  <si>
    <t>함순</t>
  </si>
  <si>
    <t>혜초</t>
  </si>
  <si>
    <t>홍경래</t>
  </si>
  <si>
    <t>홍길동</t>
  </si>
  <si>
    <t>홍익한</t>
  </si>
  <si>
    <t>황보항</t>
  </si>
  <si>
    <t>황진이</t>
  </si>
  <si>
    <t>황희</t>
  </si>
  <si>
    <t>ABC주식회사 고과점수</t>
    <phoneticPr fontId="2" type="noConversion"/>
  </si>
  <si>
    <t>평균(이상)</t>
    <phoneticPr fontId="2" type="noConversion"/>
  </si>
  <si>
    <t>인수1</t>
    <phoneticPr fontId="2" type="noConversion"/>
  </si>
  <si>
    <t>필드명 인식안함. 필드명까지 필터링대상에 넣으면 필드명도 필터링대상이 되어버린다.</t>
    <phoneticPr fontId="2" type="noConversion"/>
  </si>
  <si>
    <t>인수2</t>
    <phoneticPr fontId="2" type="noConversion"/>
  </si>
  <si>
    <t>배열수식의 형태로 조건식을 넣어준다.</t>
    <phoneticPr fontId="2" type="noConversion"/>
  </si>
  <si>
    <t>예2) 조건2개 --&gt; (A1:A10="구매부")*(B1:B10&gt;=80)</t>
    <phoneticPr fontId="2" type="noConversion"/>
  </si>
  <si>
    <t>구매팀</t>
    <phoneticPr fontId="2" type="noConversion"/>
  </si>
  <si>
    <t>예2) I2:I12&gt;=80</t>
    <phoneticPr fontId="2" type="noConversion"/>
  </si>
  <si>
    <t>예) B2:B10=L1</t>
    <phoneticPr fontId="2" type="noConversion"/>
  </si>
  <si>
    <t>필터링 대상의 표 (일반적으로 표전체)</t>
    <phoneticPr fontId="2" type="noConversion"/>
  </si>
  <si>
    <t>참고) 필드명을 인식하는 편집툴 : 고급필터, 피벗테이블</t>
    <phoneticPr fontId="2" type="noConversion"/>
  </si>
  <si>
    <t>소속</t>
    <phoneticPr fontId="2" type="noConversion"/>
  </si>
  <si>
    <t>번호</t>
  </si>
  <si>
    <t>거래일자</t>
  </si>
  <si>
    <t>거래업체명</t>
  </si>
  <si>
    <t>담당자</t>
  </si>
  <si>
    <t>제품분류</t>
  </si>
  <si>
    <t>품명</t>
  </si>
  <si>
    <t>금액</t>
  </si>
  <si>
    <t>현대중공업㈜</t>
  </si>
  <si>
    <t>이승엽</t>
  </si>
  <si>
    <t>10K</t>
  </si>
  <si>
    <t>CM-200</t>
  </si>
  <si>
    <t>에쓰오일㈜</t>
  </si>
  <si>
    <t>박찬호</t>
  </si>
  <si>
    <t>AM-200</t>
  </si>
  <si>
    <t>삼성중공업㈜</t>
  </si>
  <si>
    <t>박상영</t>
  </si>
  <si>
    <t>20K</t>
  </si>
  <si>
    <t>CM-100</t>
  </si>
  <si>
    <t>㈜엘지상사</t>
  </si>
  <si>
    <t>김우진</t>
  </si>
  <si>
    <t>40K</t>
  </si>
  <si>
    <t>AM-100</t>
  </si>
  <si>
    <t>㈜포스코건설</t>
  </si>
  <si>
    <t>김소희</t>
  </si>
  <si>
    <t>㈜대우인터내셔널</t>
  </si>
  <si>
    <t>진종오</t>
  </si>
  <si>
    <t>BM-200</t>
  </si>
  <si>
    <t>현대모비스㈜</t>
  </si>
  <si>
    <t>기보배</t>
  </si>
  <si>
    <t>30K</t>
  </si>
  <si>
    <t>㈜포스코</t>
  </si>
  <si>
    <t>이대호</t>
  </si>
  <si>
    <t>50K</t>
  </si>
  <si>
    <t>삼성전자㈜</t>
  </si>
  <si>
    <t>류현진</t>
  </si>
  <si>
    <t>기아자동차㈜</t>
  </si>
  <si>
    <t>김현수</t>
  </si>
  <si>
    <t>현대자동차㈜</t>
  </si>
  <si>
    <t>이종범</t>
  </si>
  <si>
    <t>㈜대한항공</t>
  </si>
  <si>
    <t>최미선</t>
  </si>
  <si>
    <t>엘지전자㈜</t>
  </si>
  <si>
    <t>강민호</t>
  </si>
  <si>
    <t>BM-100</t>
  </si>
  <si>
    <t>지엠대우오토엔테크㈜</t>
  </si>
  <si>
    <t>이승윤</t>
  </si>
  <si>
    <t>현대건설㈜</t>
  </si>
  <si>
    <t>오혜리</t>
  </si>
  <si>
    <t>한국수력원자력㈜</t>
  </si>
  <si>
    <t>구본찬</t>
  </si>
  <si>
    <t>한국가스공사</t>
  </si>
  <si>
    <t>양준혁</t>
  </si>
  <si>
    <t>삼성물산㈜</t>
  </si>
  <si>
    <t>장혜진</t>
  </si>
  <si>
    <t>품명</t>
    <phoneticPr fontId="2" type="noConversion"/>
  </si>
  <si>
    <t>거래업체명</t>
    <phoneticPr fontId="2" type="noConversion"/>
  </si>
  <si>
    <t>거래일자</t>
    <phoneticPr fontId="2" type="noConversion"/>
  </si>
  <si>
    <t>ABC주식회사 매출내역</t>
    <phoneticPr fontId="2" type="noConversion"/>
  </si>
  <si>
    <t>품     명</t>
    <phoneticPr fontId="2" type="noConversion"/>
  </si>
  <si>
    <t>거래일자 (검색시작일)</t>
    <phoneticPr fontId="2" type="noConversion"/>
  </si>
  <si>
    <t>거래일자 (검색종료일)</t>
    <phoneticPr fontId="2" type="noConversion"/>
  </si>
  <si>
    <t>자동필터</t>
    <phoneticPr fontId="2" type="noConversion"/>
  </si>
  <si>
    <t>Filter함수</t>
    <phoneticPr fontId="2" type="noConversion"/>
  </si>
  <si>
    <t>고급필터+매크로</t>
    <phoneticPr fontId="2" type="noConversion"/>
  </si>
  <si>
    <t>난이도</t>
    <phoneticPr fontId="2" type="noConversion"/>
  </si>
  <si>
    <t>쉽다.</t>
    <phoneticPr fontId="2" type="noConversion"/>
  </si>
  <si>
    <t>응용하면 어렵다.</t>
    <phoneticPr fontId="2" type="noConversion"/>
  </si>
  <si>
    <t>조건이 하나인 경우는 쉽다.</t>
    <phoneticPr fontId="2" type="noConversion"/>
  </si>
  <si>
    <t>어렵다.</t>
    <phoneticPr fontId="2" type="noConversion"/>
  </si>
  <si>
    <t>하지만 간절해지면 다들 잘 사용하더라.</t>
    <phoneticPr fontId="2" type="noConversion"/>
  </si>
  <si>
    <t>버전</t>
    <phoneticPr fontId="2" type="noConversion"/>
  </si>
  <si>
    <t>배열수식을 이해해야 한다.</t>
    <phoneticPr fontId="2" type="noConversion"/>
  </si>
  <si>
    <t>고급필터도 알아야 하고 매크로도 알아야 한다.</t>
    <phoneticPr fontId="2" type="noConversion"/>
  </si>
  <si>
    <t>총합계</t>
  </si>
  <si>
    <t xml:space="preserve">A고과 </t>
  </si>
  <si>
    <t xml:space="preserve">B고과 </t>
  </si>
  <si>
    <t xml:space="preserve">합계 </t>
  </si>
  <si>
    <t xml:space="preserve">평균 </t>
  </si>
  <si>
    <t>모든버전 사용가능(2003은 모름)</t>
    <phoneticPr fontId="2" type="noConversion"/>
  </si>
  <si>
    <t>1. 다른필드간의 OR조건 사용못함.</t>
    <phoneticPr fontId="2" type="noConversion"/>
  </si>
  <si>
    <t>필드10</t>
    <phoneticPr fontId="2" type="noConversion"/>
  </si>
  <si>
    <t>필드11</t>
  </si>
  <si>
    <t>필드12</t>
  </si>
  <si>
    <t>필드13</t>
  </si>
  <si>
    <t>필드14</t>
  </si>
  <si>
    <t>필드15</t>
  </si>
  <si>
    <t>필드16</t>
  </si>
  <si>
    <t>필드17</t>
  </si>
  <si>
    <t>필드18</t>
  </si>
  <si>
    <t>필드19</t>
  </si>
  <si>
    <t>필드20</t>
  </si>
  <si>
    <t>필드21</t>
  </si>
  <si>
    <t>필드22</t>
  </si>
  <si>
    <t>필드23</t>
  </si>
  <si>
    <t>필드24</t>
  </si>
  <si>
    <t>필드25</t>
  </si>
  <si>
    <t>필드26</t>
  </si>
  <si>
    <t>필드27</t>
  </si>
  <si>
    <t>필드28</t>
  </si>
  <si>
    <t>필드29</t>
  </si>
  <si>
    <t>필드30</t>
  </si>
  <si>
    <t>필드31</t>
  </si>
  <si>
    <t>필드32</t>
  </si>
  <si>
    <t>필드33</t>
  </si>
  <si>
    <t>필드34</t>
  </si>
  <si>
    <t>필드35</t>
  </si>
  <si>
    <t>A</t>
    <phoneticPr fontId="2" type="noConversion"/>
  </si>
  <si>
    <t>B</t>
    <phoneticPr fontId="2" type="noConversion"/>
  </si>
  <si>
    <t>C</t>
    <phoneticPr fontId="2" type="noConversion"/>
  </si>
  <si>
    <t>D</t>
    <phoneticPr fontId="2" type="noConversion"/>
  </si>
  <si>
    <t>E</t>
    <phoneticPr fontId="2" type="noConversion"/>
  </si>
  <si>
    <t>F</t>
    <phoneticPr fontId="2" type="noConversion"/>
  </si>
  <si>
    <t>G</t>
    <phoneticPr fontId="2" type="noConversion"/>
  </si>
  <si>
    <t>H</t>
    <phoneticPr fontId="2" type="noConversion"/>
  </si>
  <si>
    <t>I</t>
    <phoneticPr fontId="2" type="noConversion"/>
  </si>
  <si>
    <t>J</t>
    <phoneticPr fontId="2" type="noConversion"/>
  </si>
  <si>
    <t>K</t>
    <phoneticPr fontId="2" type="noConversion"/>
  </si>
  <si>
    <t>L</t>
    <phoneticPr fontId="2" type="noConversion"/>
  </si>
  <si>
    <t>M</t>
    <phoneticPr fontId="2" type="noConversion"/>
  </si>
  <si>
    <t>N</t>
    <phoneticPr fontId="2" type="noConversion"/>
  </si>
  <si>
    <t>O</t>
    <phoneticPr fontId="2" type="noConversion"/>
  </si>
  <si>
    <t>P</t>
    <phoneticPr fontId="2" type="noConversion"/>
  </si>
  <si>
    <t>Q</t>
    <phoneticPr fontId="2" type="noConversion"/>
  </si>
  <si>
    <t>R</t>
    <phoneticPr fontId="2" type="noConversion"/>
  </si>
  <si>
    <t>S</t>
    <phoneticPr fontId="2" type="noConversion"/>
  </si>
  <si>
    <t>T</t>
    <phoneticPr fontId="2" type="noConversion"/>
  </si>
  <si>
    <t>U</t>
    <phoneticPr fontId="2" type="noConversion"/>
  </si>
  <si>
    <t>V</t>
    <phoneticPr fontId="2" type="noConversion"/>
  </si>
  <si>
    <t>W</t>
    <phoneticPr fontId="2" type="noConversion"/>
  </si>
  <si>
    <t>X</t>
    <phoneticPr fontId="2" type="noConversion"/>
  </si>
  <si>
    <t>Y</t>
    <phoneticPr fontId="2" type="noConversion"/>
  </si>
  <si>
    <t>Z</t>
    <phoneticPr fontId="2" type="noConversion"/>
  </si>
  <si>
    <t>2. 필요한 필드(열)만 추출하지 못한다.</t>
    <phoneticPr fontId="2" type="noConversion"/>
  </si>
  <si>
    <t xml:space="preserve">   예)구매부이거나 남자</t>
    <phoneticPr fontId="2" type="noConversion"/>
  </si>
  <si>
    <t xml:space="preserve">   필드(열) 많을 때 정말 짜증난다.</t>
    <phoneticPr fontId="2" type="noConversion"/>
  </si>
  <si>
    <t xml:space="preserve">   열 숨기기로 대신할 수는 있다.</t>
    <phoneticPr fontId="2" type="noConversion"/>
  </si>
  <si>
    <t>1. 연속되지 않은 필드(열)를 한번에 추출하지 못한다.</t>
    <phoneticPr fontId="2" type="noConversion"/>
  </si>
  <si>
    <t xml:space="preserve">   하지만 2번~3번 사용하면 가능하다.</t>
    <phoneticPr fontId="2" type="noConversion"/>
  </si>
  <si>
    <t>2. 필드명을 인식하지 않으므로 필드명이 참조범위에</t>
    <phoneticPr fontId="2" type="noConversion"/>
  </si>
  <si>
    <t xml:space="preserve">   속한 경우 따로 필터링하는 수식을 넣어줘야 한다.</t>
    <phoneticPr fontId="2" type="noConversion"/>
  </si>
  <si>
    <t>1. 조건을 입력할 공간이 필요하다.</t>
    <phoneticPr fontId="2" type="noConversion"/>
  </si>
  <si>
    <t xml:space="preserve">   깔끔한 레이아웃 구성을 위해서는 편법이 필요하다.</t>
    <phoneticPr fontId="2" type="noConversion"/>
  </si>
  <si>
    <t>2. 매크로 저장파일로 저장해야만 한다.</t>
    <phoneticPr fontId="2" type="noConversion"/>
  </si>
  <si>
    <t xml:space="preserve">   매크로 저장파일은 PC카톡으로 바로 보내지지 않는다.</t>
    <phoneticPr fontId="2" type="noConversion"/>
  </si>
  <si>
    <t xml:space="preserve">   압축해서 보내야 한다.</t>
    <phoneticPr fontId="2" type="noConversion"/>
  </si>
  <si>
    <t xml:space="preserve">   메일에서 간혹 매크로가 삭제되어 보내지는 경우가 있다.</t>
    <phoneticPr fontId="2" type="noConversion"/>
  </si>
  <si>
    <t xml:space="preserve">   클라우드 사용시 조심해야 한다.</t>
    <phoneticPr fontId="2" type="noConversion"/>
  </si>
  <si>
    <t xml:space="preserve">   될수 있음 유명한 클라우드를 사용하길 권장함.</t>
    <phoneticPr fontId="2" type="noConversion"/>
  </si>
  <si>
    <t xml:space="preserve">   보안프로그램이 악성 매크로로 판단하여 파일을 지우는 경우도 생긴다.</t>
    <phoneticPr fontId="2" type="noConversion"/>
  </si>
  <si>
    <t>비교항목</t>
    <phoneticPr fontId="2" type="noConversion"/>
  </si>
  <si>
    <t>MS Office 365 구독자만 사용가능.
고급필터 + 매크로로 대체하면 된다.</t>
    <phoneticPr fontId="2" type="noConversion"/>
  </si>
  <si>
    <t>3. 조건을 여러 개 입력 및 응용할 경우</t>
    <phoneticPr fontId="2" type="noConversion"/>
  </si>
  <si>
    <t xml:space="preserve">   배열수식 및 논리값도 이해해야 한다.</t>
    <phoneticPr fontId="2" type="noConversion"/>
  </si>
  <si>
    <t>특징</t>
    <phoneticPr fontId="2" type="noConversion"/>
  </si>
  <si>
    <t>4. Unique함수, Sort함수와 찰떡궁합이다.</t>
    <phoneticPr fontId="2" type="noConversion"/>
  </si>
  <si>
    <t>행 레이블</t>
  </si>
  <si>
    <t>합계 : A고과</t>
  </si>
  <si>
    <t>평균 : A고과2</t>
  </si>
  <si>
    <t>성명</t>
    <phoneticPr fontId="2" type="noConversion"/>
  </si>
  <si>
    <t>필터함수 개요</t>
    <phoneticPr fontId="2" type="noConversion"/>
  </si>
  <si>
    <t>유효성검사와 혼합하여 사용</t>
    <phoneticPr fontId="2" type="noConversion"/>
  </si>
  <si>
    <t>여러조건 혼합하여 사용가능</t>
    <phoneticPr fontId="2" type="noConversion"/>
  </si>
  <si>
    <t>Sort함수, Unique함수와 찰떡궁합</t>
    <phoneticPr fontId="2" type="noConversion"/>
  </si>
  <si>
    <t>단점</t>
    <phoneticPr fontId="2" type="noConversion"/>
  </si>
  <si>
    <t>연속되지 않은 필드(열)를 한번에 추출하지 못한다.</t>
    <phoneticPr fontId="2" type="noConversion"/>
  </si>
  <si>
    <t>(하지만 2번~3번 사용하면 가능하다.)</t>
    <phoneticPr fontId="2" type="noConversion"/>
  </si>
  <si>
    <t>조건을 여러 개 입력 및 응용할 경우</t>
    <phoneticPr fontId="2" type="noConversion"/>
  </si>
  <si>
    <t>배열수식 및 논리값도 이해해야 한다.</t>
    <phoneticPr fontId="2" type="noConversion"/>
  </si>
  <si>
    <t>정의</t>
    <phoneticPr fontId="2" type="noConversion"/>
  </si>
  <si>
    <t>필터링 해주는 함수</t>
    <phoneticPr fontId="2" type="noConversion"/>
  </si>
  <si>
    <t>1.</t>
    <phoneticPr fontId="2" type="noConversion"/>
  </si>
  <si>
    <t>2.</t>
  </si>
  <si>
    <t>3.</t>
  </si>
  <si>
    <t>4.</t>
  </si>
  <si>
    <t xml:space="preserve">필드명(머릿글)을 인식하지 않으므로 필드명이 </t>
    <phoneticPr fontId="2" type="noConversion"/>
  </si>
  <si>
    <t>참조범위에 속한 경우 따로 필터링하는 수식을 넣어줘야 한다.</t>
    <phoneticPr fontId="2" type="noConversion"/>
  </si>
  <si>
    <t>인수3</t>
    <phoneticPr fontId="2" type="noConversion"/>
  </si>
  <si>
    <t>필터링할 참조범위 : 필드단위로 참조범위 지정</t>
    <phoneticPr fontId="2" type="noConversion"/>
  </si>
  <si>
    <t xml:space="preserve">입력방식예) B2:B10=C1 </t>
    <phoneticPr fontId="2" type="noConversion"/>
  </si>
  <si>
    <t>조건입력 배열=셀주소 / 배열=특정텍스트</t>
    <phoneticPr fontId="2" type="noConversion"/>
  </si>
  <si>
    <t>B2 : B10 = C1</t>
    <phoneticPr fontId="2" type="noConversion"/>
  </si>
  <si>
    <t>데이터가 없을 때 대신 나타낼 텍스트</t>
    <phoneticPr fontId="2" type="noConversion"/>
  </si>
  <si>
    <t>생략가능하고 보통은 ""(Null)을 많이 사용함</t>
    <phoneticPr fontId="2" type="noConversion"/>
  </si>
  <si>
    <t>인수</t>
    <phoneticPr fontId="2" type="noConversion"/>
  </si>
  <si>
    <t>실무
활용</t>
    <phoneticPr fontId="2" type="noConversion"/>
  </si>
  <si>
    <t>표등록 후 사용하는 것이 거의 필수조건이다.</t>
    <phoneticPr fontId="2" type="noConversion"/>
  </si>
  <si>
    <t>aaaaa</t>
    <phoneticPr fontId="2" type="noConversion"/>
  </si>
  <si>
    <t>사장</t>
    <phoneticPr fontId="2" type="noConversion"/>
  </si>
  <si>
    <t>남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</si>
</sst>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41" formatCode="_-* #,##0_-;\-* #,##0_-;_-* &quot;-&quot;_-;_-@_-"/>
  </numFmts>
  <fonts count="17" x14ac:knownFonts="1">
    <font>
      <sz val="11"/>
      <color theme="1"/>
      <name val="맑은 고딕"/>
      <family val="2"/>
      <charset val="129"/>
      <scheme val="minor"/>
    </font>
    <font>
      <b/>
      <sz val="11"/>
      <color theme="0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4"/>
      <color theme="0"/>
      <name val="맑은 고딕"/>
      <family val="3"/>
      <charset val="129"/>
      <scheme val="minor"/>
    </font>
    <font>
      <b/>
      <sz val="14"/>
      <color theme="1"/>
      <name val="맑은 고딕"/>
      <family val="3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0"/>
      <name val="맑은 고딕"/>
      <family val="2"/>
      <charset val="129"/>
      <scheme val="minor"/>
    </font>
    <font>
      <b/>
      <sz val="11"/>
      <color theme="0"/>
      <name val="나눔고딕"/>
      <family val="3"/>
      <charset val="129"/>
    </font>
    <font>
      <sz val="11"/>
      <color theme="1"/>
      <name val="나눔고딕"/>
      <family val="3"/>
      <charset val="129"/>
    </font>
    <font>
      <b/>
      <sz val="10"/>
      <color theme="0"/>
      <name val="나눔고딕"/>
      <family val="3"/>
      <charset val="129"/>
    </font>
    <font>
      <sz val="10"/>
      <color theme="1"/>
      <name val="나눔고딕"/>
      <family val="3"/>
      <charset val="129"/>
    </font>
    <font>
      <b/>
      <sz val="11"/>
      <color theme="0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b/>
      <sz val="22"/>
      <color theme="1"/>
      <name val="맑은 고딕"/>
      <family val="3"/>
      <charset val="129"/>
      <scheme val="minor"/>
    </font>
    <font>
      <b/>
      <sz val="12"/>
      <color theme="1"/>
      <name val="맑은 고딕"/>
      <family val="3"/>
      <charset val="129"/>
      <scheme val="minor"/>
    </font>
    <font>
      <b/>
      <sz val="20"/>
      <color theme="1"/>
      <name val="맑은 고딕"/>
      <family val="3"/>
      <charset val="129"/>
      <scheme val="minor"/>
    </font>
    <font>
      <b/>
      <sz val="11"/>
      <color theme="1"/>
      <name val="맑은 고딕"/>
      <family val="2"/>
      <charset val="129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008000"/>
        <bgColor indexed="64"/>
      </patternFill>
    </fill>
    <fill>
      <patternFill patternType="solid">
        <fgColor rgb="FFF4F9F1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E5F9"/>
        <bgColor indexed="64"/>
      </patternFill>
    </fill>
    <fill>
      <patternFill patternType="solid">
        <fgColor theme="8"/>
        <bgColor theme="8"/>
      </patternFill>
    </fill>
  </fills>
  <borders count="54">
    <border>
      <left/>
      <right/>
      <top/>
      <bottom/>
      <diagonal/>
    </border>
    <border>
      <left/>
      <right/>
      <top style="thick">
        <color rgb="FF7030A0"/>
      </top>
      <bottom style="double">
        <color rgb="FF7030A0"/>
      </bottom>
      <diagonal/>
    </border>
    <border>
      <left style="thin">
        <color theme="4"/>
      </left>
      <right style="thin">
        <color theme="4"/>
      </right>
      <top style="thin">
        <color theme="4"/>
      </top>
      <bottom style="thin">
        <color theme="4"/>
      </bottom>
      <diagonal/>
    </border>
    <border>
      <left style="thin">
        <color theme="4"/>
      </left>
      <right style="thin">
        <color theme="4"/>
      </right>
      <top style="thin">
        <color theme="4"/>
      </top>
      <bottom/>
      <diagonal/>
    </border>
    <border>
      <left style="thin">
        <color theme="4"/>
      </left>
      <right style="thin">
        <color theme="0"/>
      </right>
      <top style="thin">
        <color theme="4"/>
      </top>
      <bottom/>
      <diagonal/>
    </border>
    <border>
      <left style="thin">
        <color theme="0"/>
      </left>
      <right style="thin">
        <color theme="0"/>
      </right>
      <top style="thin">
        <color theme="4"/>
      </top>
      <bottom/>
      <diagonal/>
    </border>
    <border>
      <left style="thin">
        <color theme="0"/>
      </left>
      <right style="thin">
        <color theme="4"/>
      </right>
      <top style="thin">
        <color theme="4"/>
      </top>
      <bottom/>
      <diagonal/>
    </border>
    <border>
      <left style="thin">
        <color rgb="FF0070C0"/>
      </left>
      <right style="thin">
        <color theme="0"/>
      </right>
      <top style="thin">
        <color rgb="FF0070C0"/>
      </top>
      <bottom style="thin">
        <color rgb="FF0070C0"/>
      </bottom>
      <diagonal/>
    </border>
    <border>
      <left/>
      <right style="thin">
        <color rgb="FF0070C0"/>
      </right>
      <top style="thin">
        <color rgb="FF0070C0"/>
      </top>
      <bottom style="thin">
        <color rgb="FF0070C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8000"/>
      </left>
      <right style="thin">
        <color rgb="FF008000"/>
      </right>
      <top style="thin">
        <color rgb="FF008000"/>
      </top>
      <bottom style="thin">
        <color rgb="FF008000"/>
      </bottom>
      <diagonal/>
    </border>
    <border>
      <left style="thin">
        <color rgb="FF008000"/>
      </left>
      <right style="thin">
        <color theme="0"/>
      </right>
      <top style="thin">
        <color rgb="FF008000"/>
      </top>
      <bottom style="thin">
        <color rgb="FF008000"/>
      </bottom>
      <diagonal/>
    </border>
    <border>
      <left style="thin">
        <color theme="0"/>
      </left>
      <right style="thin">
        <color theme="0"/>
      </right>
      <top style="thin">
        <color rgb="FF008000"/>
      </top>
      <bottom style="thin">
        <color rgb="FF008000"/>
      </bottom>
      <diagonal/>
    </border>
    <border>
      <left style="thin">
        <color theme="0"/>
      </left>
      <right/>
      <top/>
      <bottom style="thin">
        <color theme="0"/>
      </bottom>
      <diagonal/>
    </border>
    <border>
      <left/>
      <right style="thin">
        <color rgb="FF008000"/>
      </right>
      <top/>
      <bottom style="thin">
        <color theme="0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/>
      <right style="thin">
        <color rgb="FF00800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/>
      <diagonal/>
    </border>
    <border>
      <left/>
      <right style="thin">
        <color rgb="FF008000"/>
      </right>
      <top style="thin">
        <color theme="0"/>
      </top>
      <bottom/>
      <diagonal/>
    </border>
    <border>
      <left style="thin">
        <color rgb="FF008000"/>
      </left>
      <right/>
      <top style="thin">
        <color rgb="FF008000"/>
      </top>
      <bottom style="thin">
        <color rgb="FF008000"/>
      </bottom>
      <diagonal/>
    </border>
    <border>
      <left/>
      <right style="thin">
        <color rgb="FF008000"/>
      </right>
      <top style="thin">
        <color rgb="FF008000"/>
      </top>
      <bottom style="thin">
        <color rgb="FF008000"/>
      </bottom>
      <diagonal/>
    </border>
    <border>
      <left/>
      <right/>
      <top style="thick">
        <color rgb="FF008000"/>
      </top>
      <bottom style="double">
        <color rgb="FF008000"/>
      </bottom>
      <diagonal/>
    </border>
    <border>
      <left style="thin">
        <color rgb="FF008000"/>
      </left>
      <right style="thin">
        <color theme="0"/>
      </right>
      <top style="thin">
        <color rgb="FF008000"/>
      </top>
      <bottom/>
      <diagonal/>
    </border>
    <border>
      <left style="thin">
        <color theme="0"/>
      </left>
      <right style="thin">
        <color theme="0"/>
      </right>
      <top style="thin">
        <color rgb="FF008000"/>
      </top>
      <bottom/>
      <diagonal/>
    </border>
    <border>
      <left style="medium">
        <color theme="7" tint="0.39994506668294322"/>
      </left>
      <right style="medium">
        <color theme="7" tint="0.39994506668294322"/>
      </right>
      <top style="medium">
        <color theme="7" tint="0.39994506668294322"/>
      </top>
      <bottom style="medium">
        <color theme="7" tint="0.39994506668294322"/>
      </bottom>
      <diagonal/>
    </border>
    <border>
      <left style="medium">
        <color theme="7" tint="0.39994506668294322"/>
      </left>
      <right/>
      <top style="medium">
        <color theme="7" tint="0.39994506668294322"/>
      </top>
      <bottom style="medium">
        <color theme="7" tint="0.39994506668294322"/>
      </bottom>
      <diagonal/>
    </border>
    <border>
      <left style="medium">
        <color theme="7" tint="0.39991454817346722"/>
      </left>
      <right style="medium">
        <color theme="7" tint="0.39991454817346722"/>
      </right>
      <top style="medium">
        <color theme="7" tint="0.39991454817346722"/>
      </top>
      <bottom/>
      <diagonal/>
    </border>
    <border>
      <left style="medium">
        <color theme="7" tint="0.39994506668294322"/>
      </left>
      <right style="medium">
        <color theme="7" tint="0.39991454817346722"/>
      </right>
      <top style="medium">
        <color theme="7" tint="0.39991454817346722"/>
      </top>
      <bottom style="dashed">
        <color theme="7" tint="0.79998168889431442"/>
      </bottom>
      <diagonal/>
    </border>
    <border>
      <left style="medium">
        <color theme="7" tint="0.39991454817346722"/>
      </left>
      <right style="medium">
        <color theme="7" tint="0.39991454817346722"/>
      </right>
      <top style="medium">
        <color theme="7" tint="0.39991454817346722"/>
      </top>
      <bottom style="dashed">
        <color theme="7" tint="0.79998168889431442"/>
      </bottom>
      <diagonal/>
    </border>
    <border>
      <left style="medium">
        <color theme="7" tint="0.39994506668294322"/>
      </left>
      <right style="medium">
        <color theme="7" tint="0.39991454817346722"/>
      </right>
      <top style="dashed">
        <color theme="7" tint="0.79998168889431442"/>
      </top>
      <bottom style="dashed">
        <color theme="7" tint="0.79998168889431442"/>
      </bottom>
      <diagonal/>
    </border>
    <border>
      <left style="medium">
        <color theme="7" tint="0.39991454817346722"/>
      </left>
      <right style="medium">
        <color theme="7" tint="0.39991454817346722"/>
      </right>
      <top style="dashed">
        <color theme="7" tint="0.79998168889431442"/>
      </top>
      <bottom style="dashed">
        <color theme="7" tint="0.79998168889431442"/>
      </bottom>
      <diagonal/>
    </border>
    <border>
      <left style="medium">
        <color theme="7" tint="0.39994506668294322"/>
      </left>
      <right style="medium">
        <color theme="7" tint="0.39991454817346722"/>
      </right>
      <top style="dashed">
        <color theme="7" tint="0.79998168889431442"/>
      </top>
      <bottom style="medium">
        <color theme="7" tint="0.39991454817346722"/>
      </bottom>
      <diagonal/>
    </border>
    <border>
      <left style="medium">
        <color theme="7" tint="0.39991454817346722"/>
      </left>
      <right style="medium">
        <color theme="7" tint="0.39991454817346722"/>
      </right>
      <top style="dashed">
        <color theme="7" tint="0.79998168889431442"/>
      </top>
      <bottom style="medium">
        <color theme="7" tint="0.39991454817346722"/>
      </bottom>
      <diagonal/>
    </border>
    <border>
      <left style="medium">
        <color rgb="FF0070C0"/>
      </left>
      <right style="medium">
        <color rgb="FF0070C0"/>
      </right>
      <top style="medium">
        <color rgb="FF0070C0"/>
      </top>
      <bottom style="medium">
        <color rgb="FF0070C0"/>
      </bottom>
      <diagonal/>
    </border>
    <border>
      <left/>
      <right style="medium">
        <color rgb="FF0070C0"/>
      </right>
      <top style="medium">
        <color rgb="FF0070C0"/>
      </top>
      <bottom style="dashed">
        <color rgb="FF0070C0"/>
      </bottom>
      <diagonal/>
    </border>
    <border>
      <left/>
      <right style="medium">
        <color rgb="FF0070C0"/>
      </right>
      <top style="dashed">
        <color rgb="FF0070C0"/>
      </top>
      <bottom style="dashed">
        <color rgb="FF0070C0"/>
      </bottom>
      <diagonal/>
    </border>
    <border>
      <left/>
      <right style="medium">
        <color rgb="FF0070C0"/>
      </right>
      <top style="dashed">
        <color rgb="FF0070C0"/>
      </top>
      <bottom style="medium">
        <color rgb="FF0070C0"/>
      </bottom>
      <diagonal/>
    </border>
    <border>
      <left/>
      <right style="medium">
        <color rgb="FF0070C0"/>
      </right>
      <top style="dashed">
        <color rgb="FF0070C0"/>
      </top>
      <bottom/>
      <diagonal/>
    </border>
    <border>
      <left/>
      <right style="medium">
        <color rgb="FF0070C0"/>
      </right>
      <top/>
      <bottom style="dashed">
        <color rgb="FF0070C0"/>
      </bottom>
      <diagonal/>
    </border>
    <border>
      <left/>
      <right style="medium">
        <color rgb="FF0070C0"/>
      </right>
      <top/>
      <bottom style="medium">
        <color rgb="FF0070C0"/>
      </bottom>
      <diagonal/>
    </border>
    <border>
      <left style="medium">
        <color rgb="FF0070C0"/>
      </left>
      <right/>
      <top style="medium">
        <color rgb="FF0070C0"/>
      </top>
      <bottom style="medium">
        <color rgb="FF0070C0"/>
      </bottom>
      <diagonal/>
    </border>
    <border>
      <left/>
      <right style="medium">
        <color rgb="FF0070C0"/>
      </right>
      <top style="medium">
        <color rgb="FF0070C0"/>
      </top>
      <bottom style="medium">
        <color rgb="FF0070C0"/>
      </bottom>
      <diagonal/>
    </border>
    <border>
      <left style="medium">
        <color rgb="FF0070C0"/>
      </left>
      <right style="dashed">
        <color rgb="FF0070C0"/>
      </right>
      <top style="medium">
        <color rgb="FF0070C0"/>
      </top>
      <bottom style="dashed">
        <color rgb="FF0070C0"/>
      </bottom>
      <diagonal/>
    </border>
    <border>
      <left style="medium">
        <color rgb="FF0070C0"/>
      </left>
      <right style="dashed">
        <color rgb="FF0070C0"/>
      </right>
      <top style="dashed">
        <color rgb="FF0070C0"/>
      </top>
      <bottom style="dashed">
        <color rgb="FF0070C0"/>
      </bottom>
      <diagonal/>
    </border>
    <border>
      <left style="medium">
        <color rgb="FF0070C0"/>
      </left>
      <right style="dashed">
        <color rgb="FF0070C0"/>
      </right>
      <top style="dashed">
        <color rgb="FF0070C0"/>
      </top>
      <bottom style="medium">
        <color rgb="FF0070C0"/>
      </bottom>
      <diagonal/>
    </border>
    <border>
      <left style="medium">
        <color rgb="FF0070C0"/>
      </left>
      <right style="dashed">
        <color rgb="FF0070C0"/>
      </right>
      <top style="dashed">
        <color rgb="FF0070C0"/>
      </top>
      <bottom/>
      <diagonal/>
    </border>
    <border>
      <left style="medium">
        <color rgb="FF0070C0"/>
      </left>
      <right style="dashed">
        <color rgb="FF0070C0"/>
      </right>
      <top/>
      <bottom style="dashed">
        <color rgb="FF0070C0"/>
      </bottom>
      <diagonal/>
    </border>
    <border>
      <left style="medium">
        <color rgb="FF0070C0"/>
      </left>
      <right style="dashed">
        <color rgb="FF0070C0"/>
      </right>
      <top/>
      <bottom style="medium">
        <color rgb="FF0070C0"/>
      </bottom>
      <diagonal/>
    </border>
    <border>
      <left style="medium">
        <color rgb="FF0070C0"/>
      </left>
      <right style="medium">
        <color rgb="FF0070C0"/>
      </right>
      <top style="medium">
        <color rgb="FF0070C0"/>
      </top>
      <bottom/>
      <diagonal/>
    </border>
    <border>
      <left style="medium">
        <color rgb="FF0070C0"/>
      </left>
      <right style="medium">
        <color rgb="FF0070C0"/>
      </right>
      <top/>
      <bottom/>
      <diagonal/>
    </border>
    <border>
      <left style="medium">
        <color rgb="FF0070C0"/>
      </left>
      <right style="medium">
        <color rgb="FF0070C0"/>
      </right>
      <top/>
      <bottom style="medium">
        <color rgb="FF0070C0"/>
      </bottom>
      <diagonal/>
    </border>
    <border>
      <left style="thin">
        <color theme="8"/>
      </left>
      <right/>
      <top style="thin">
        <color theme="8"/>
      </top>
      <bottom/>
      <diagonal/>
    </border>
    <border>
      <left/>
      <right/>
      <top style="thin">
        <color theme="8"/>
      </top>
      <bottom/>
      <diagonal/>
    </border>
    <border>
      <left/>
      <right style="thin">
        <color theme="8"/>
      </right>
      <top style="thin">
        <color theme="8"/>
      </top>
      <bottom/>
      <diagonal/>
    </border>
  </borders>
  <cellStyleXfs count="2">
    <xf numFmtId="0" fontId="0" fillId="0" borderId="0">
      <alignment vertical="center"/>
    </xf>
    <xf numFmtId="41" fontId="5" fillId="0" borderId="0" applyFont="0" applyFill="0" applyBorder="0" applyAlignment="0" applyProtection="0">
      <alignment vertical="center"/>
    </xf>
  </cellStyleXfs>
  <cellXfs count="114">
    <xf numFmtId="0" fontId="0" fillId="0" borderId="0" xfId="0">
      <alignment vertical="center"/>
    </xf>
    <xf numFmtId="0" fontId="0" fillId="0" borderId="0" xfId="0" applyBorder="1">
      <alignment vertical="center"/>
    </xf>
    <xf numFmtId="0" fontId="0" fillId="0" borderId="0" xfId="0" applyAlignment="1">
      <alignment horizontal="center" vertical="center"/>
    </xf>
    <xf numFmtId="0" fontId="0" fillId="0" borderId="3" xfId="0" applyFont="1" applyBorder="1" applyAlignment="1">
      <alignment horizontal="center" vertical="center"/>
    </xf>
    <xf numFmtId="0" fontId="0" fillId="0" borderId="2" xfId="0" applyFont="1" applyBorder="1" applyAlignment="1">
      <alignment horizontal="center" vertical="center"/>
    </xf>
    <xf numFmtId="0" fontId="1" fillId="2" borderId="4" xfId="0" applyFont="1" applyFill="1" applyBorder="1" applyAlignment="1">
      <alignment horizontal="center" vertical="center"/>
    </xf>
    <xf numFmtId="0" fontId="1" fillId="2" borderId="5" xfId="0" applyFont="1" applyFill="1" applyBorder="1" applyAlignment="1">
      <alignment horizontal="center" vertical="center"/>
    </xf>
    <xf numFmtId="0" fontId="1" fillId="2" borderId="6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centerContinuous" vertical="center"/>
    </xf>
    <xf numFmtId="0" fontId="3" fillId="3" borderId="1" xfId="0" applyFont="1" applyFill="1" applyBorder="1" applyAlignment="1">
      <alignment horizontal="centerContinuous" vertical="center"/>
    </xf>
    <xf numFmtId="0" fontId="1" fillId="2" borderId="7" xfId="0" applyFont="1" applyFill="1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14" fontId="0" fillId="0" borderId="3" xfId="0" applyNumberFormat="1" applyFont="1" applyBorder="1" applyAlignment="1">
      <alignment horizontal="center" vertical="center"/>
    </xf>
    <xf numFmtId="14" fontId="0" fillId="0" borderId="2" xfId="0" applyNumberFormat="1" applyFont="1" applyBorder="1" applyAlignment="1">
      <alignment horizontal="center" vertical="center"/>
    </xf>
    <xf numFmtId="14" fontId="0" fillId="0" borderId="0" xfId="0" applyNumberFormat="1">
      <alignment vertical="center"/>
    </xf>
    <xf numFmtId="14" fontId="1" fillId="2" borderId="5" xfId="0" applyNumberFormat="1" applyFont="1" applyFill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0" fontId="1" fillId="2" borderId="9" xfId="0" applyFont="1" applyFill="1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6" fillId="0" borderId="0" xfId="0" applyFont="1">
      <alignment vertical="center"/>
    </xf>
    <xf numFmtId="0" fontId="4" fillId="5" borderId="21" xfId="0" applyFont="1" applyFill="1" applyBorder="1" applyAlignment="1">
      <alignment horizontal="centerContinuous" vertical="center"/>
    </xf>
    <xf numFmtId="0" fontId="0" fillId="5" borderId="21" xfId="0" applyFill="1" applyBorder="1" applyAlignment="1">
      <alignment horizontal="centerContinuous" vertical="center"/>
    </xf>
    <xf numFmtId="0" fontId="7" fillId="4" borderId="13" xfId="0" applyFont="1" applyFill="1" applyBorder="1" applyAlignment="1">
      <alignment horizontal="centerContinuous" vertical="center"/>
    </xf>
    <xf numFmtId="0" fontId="7" fillId="4" borderId="14" xfId="0" applyFont="1" applyFill="1" applyBorder="1" applyAlignment="1">
      <alignment horizontal="centerContinuous" vertical="center"/>
    </xf>
    <xf numFmtId="0" fontId="9" fillId="4" borderId="15" xfId="0" applyFont="1" applyFill="1" applyBorder="1" applyAlignment="1">
      <alignment horizontal="centerContinuous" vertical="center"/>
    </xf>
    <xf numFmtId="0" fontId="9" fillId="4" borderId="16" xfId="0" applyFont="1" applyFill="1" applyBorder="1" applyAlignment="1">
      <alignment horizontal="centerContinuous" vertical="center"/>
    </xf>
    <xf numFmtId="0" fontId="9" fillId="4" borderId="17" xfId="0" applyFont="1" applyFill="1" applyBorder="1" applyAlignment="1">
      <alignment horizontal="centerContinuous" vertical="center"/>
    </xf>
    <xf numFmtId="0" fontId="9" fillId="4" borderId="18" xfId="0" applyFont="1" applyFill="1" applyBorder="1" applyAlignment="1">
      <alignment horizontal="centerContinuous" vertical="center"/>
    </xf>
    <xf numFmtId="0" fontId="9" fillId="4" borderId="11" xfId="0" applyFont="1" applyFill="1" applyBorder="1" applyAlignment="1">
      <alignment horizontal="center" vertical="center"/>
    </xf>
    <xf numFmtId="0" fontId="9" fillId="4" borderId="12" xfId="0" applyFont="1" applyFill="1" applyBorder="1" applyAlignment="1">
      <alignment horizontal="center" vertical="center"/>
    </xf>
    <xf numFmtId="0" fontId="10" fillId="5" borderId="10" xfId="0" applyFont="1" applyFill="1" applyBorder="1" applyAlignment="1">
      <alignment horizontal="center" vertical="center"/>
    </xf>
    <xf numFmtId="14" fontId="10" fillId="5" borderId="10" xfId="0" applyNumberFormat="1" applyFont="1" applyFill="1" applyBorder="1" applyAlignment="1">
      <alignment horizontal="center" vertical="center"/>
    </xf>
    <xf numFmtId="0" fontId="10" fillId="5" borderId="10" xfId="0" applyFont="1" applyFill="1" applyBorder="1" applyAlignment="1">
      <alignment horizontal="center" vertical="center" shrinkToFit="1"/>
    </xf>
    <xf numFmtId="0" fontId="10" fillId="5" borderId="10" xfId="0" applyFont="1" applyFill="1" applyBorder="1" applyAlignment="1">
      <alignment horizontal="center" vertical="center" wrapText="1"/>
    </xf>
    <xf numFmtId="41" fontId="10" fillId="5" borderId="10" xfId="1" applyNumberFormat="1" applyFont="1" applyFill="1" applyBorder="1">
      <alignment vertical="center"/>
    </xf>
    <xf numFmtId="0" fontId="7" fillId="4" borderId="22" xfId="0" applyFont="1" applyFill="1" applyBorder="1" applyAlignment="1">
      <alignment horizontal="center" vertical="center"/>
    </xf>
    <xf numFmtId="0" fontId="7" fillId="4" borderId="23" xfId="0" applyFont="1" applyFill="1" applyBorder="1" applyAlignment="1">
      <alignment horizontal="center" vertical="center"/>
    </xf>
    <xf numFmtId="0" fontId="10" fillId="0" borderId="0" xfId="0" applyFont="1" applyFill="1" applyBorder="1" applyAlignment="1">
      <alignment horizontal="center" vertical="center"/>
    </xf>
    <xf numFmtId="14" fontId="10" fillId="0" borderId="0" xfId="0" applyNumberFormat="1" applyFont="1" applyFill="1" applyBorder="1" applyAlignment="1">
      <alignment horizontal="center" vertical="center"/>
    </xf>
    <xf numFmtId="0" fontId="10" fillId="0" borderId="0" xfId="0" applyFont="1" applyFill="1" applyBorder="1" applyAlignment="1">
      <alignment horizontal="center" vertical="center" shrinkToFit="1"/>
    </xf>
    <xf numFmtId="41" fontId="10" fillId="0" borderId="0" xfId="1" applyNumberFormat="1" applyFont="1" applyFill="1" applyBorder="1">
      <alignment vertical="center"/>
    </xf>
    <xf numFmtId="0" fontId="0" fillId="0" borderId="0" xfId="0" applyFill="1" applyBorder="1">
      <alignment vertical="center"/>
    </xf>
    <xf numFmtId="0" fontId="0" fillId="0" borderId="0" xfId="0" pivotButton="1">
      <alignment vertical="center"/>
    </xf>
    <xf numFmtId="0" fontId="0" fillId="0" borderId="0" xfId="0" applyNumberFormat="1">
      <alignment vertical="center"/>
    </xf>
    <xf numFmtId="0" fontId="0" fillId="0" borderId="0" xfId="0" applyAlignment="1">
      <alignment vertical="center"/>
    </xf>
    <xf numFmtId="0" fontId="11" fillId="6" borderId="26" xfId="0" applyFont="1" applyFill="1" applyBorder="1" applyAlignment="1">
      <alignment horizontal="center" vertical="center"/>
    </xf>
    <xf numFmtId="0" fontId="11" fillId="6" borderId="25" xfId="0" applyFont="1" applyFill="1" applyBorder="1" applyAlignment="1">
      <alignment horizontal="center" vertical="center"/>
    </xf>
    <xf numFmtId="0" fontId="0" fillId="0" borderId="28" xfId="0" applyBorder="1" applyAlignment="1">
      <alignment horizontal="left" vertical="center" indent="1"/>
    </xf>
    <xf numFmtId="0" fontId="0" fillId="0" borderId="30" xfId="0" applyBorder="1" applyAlignment="1">
      <alignment horizontal="left" vertical="center" indent="1"/>
    </xf>
    <xf numFmtId="0" fontId="0" fillId="0" borderId="32" xfId="0" applyBorder="1" applyAlignment="1">
      <alignment horizontal="left" vertical="center" indent="1"/>
    </xf>
    <xf numFmtId="0" fontId="0" fillId="0" borderId="27" xfId="0" applyBorder="1" applyAlignment="1">
      <alignment horizontal="left" vertical="center" indent="1"/>
    </xf>
    <xf numFmtId="0" fontId="0" fillId="0" borderId="29" xfId="0" applyBorder="1" applyAlignment="1">
      <alignment horizontal="left" vertical="center" indent="1"/>
    </xf>
    <xf numFmtId="0" fontId="0" fillId="0" borderId="31" xfId="0" applyBorder="1" applyAlignment="1">
      <alignment horizontal="left" vertical="center" indent="1"/>
    </xf>
    <xf numFmtId="0" fontId="0" fillId="0" borderId="0" xfId="0" applyAlignment="1">
      <alignment horizontal="left" vertical="center"/>
    </xf>
    <xf numFmtId="0" fontId="0" fillId="0" borderId="0" xfId="0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3" xfId="0" applyFont="1" applyFill="1" applyBorder="1" applyAlignment="1">
      <alignment horizontal="center" vertical="center"/>
    </xf>
    <xf numFmtId="14" fontId="0" fillId="0" borderId="3" xfId="0" applyNumberFormat="1" applyFont="1" applyFill="1" applyBorder="1" applyAlignment="1">
      <alignment horizontal="center" vertical="center"/>
    </xf>
    <xf numFmtId="0" fontId="0" fillId="0" borderId="0" xfId="0" quotePrefix="1" applyAlignment="1">
      <alignment horizontal="center" vertical="center"/>
    </xf>
    <xf numFmtId="0" fontId="0" fillId="8" borderId="34" xfId="0" applyFill="1" applyBorder="1">
      <alignment vertical="center"/>
    </xf>
    <xf numFmtId="0" fontId="0" fillId="8" borderId="35" xfId="0" applyFill="1" applyBorder="1">
      <alignment vertical="center"/>
    </xf>
    <xf numFmtId="0" fontId="0" fillId="8" borderId="36" xfId="0" applyFill="1" applyBorder="1">
      <alignment vertical="center"/>
    </xf>
    <xf numFmtId="0" fontId="0" fillId="8" borderId="37" xfId="0" applyFill="1" applyBorder="1">
      <alignment vertical="center"/>
    </xf>
    <xf numFmtId="0" fontId="0" fillId="8" borderId="38" xfId="0" applyFill="1" applyBorder="1">
      <alignment vertical="center"/>
    </xf>
    <xf numFmtId="0" fontId="0" fillId="8" borderId="39" xfId="0" applyFill="1" applyBorder="1">
      <alignment vertical="center"/>
    </xf>
    <xf numFmtId="0" fontId="12" fillId="0" borderId="0" xfId="0" applyFont="1" applyAlignment="1">
      <alignment horizontal="center" vertical="center"/>
    </xf>
    <xf numFmtId="0" fontId="12" fillId="0" borderId="0" xfId="0" quotePrefix="1" applyFont="1" applyAlignment="1">
      <alignment horizontal="center" vertical="center"/>
    </xf>
    <xf numFmtId="0" fontId="13" fillId="0" borderId="0" xfId="0" applyFont="1" applyAlignment="1">
      <alignment horizontal="center" vertical="center"/>
    </xf>
    <xf numFmtId="0" fontId="4" fillId="7" borderId="33" xfId="0" applyFont="1" applyFill="1" applyBorder="1" applyAlignment="1">
      <alignment horizontal="center" vertical="center"/>
    </xf>
    <xf numFmtId="0" fontId="14" fillId="8" borderId="42" xfId="0" quotePrefix="1" applyFont="1" applyFill="1" applyBorder="1" applyAlignment="1">
      <alignment horizontal="center" vertical="center"/>
    </xf>
    <xf numFmtId="0" fontId="14" fillId="8" borderId="43" xfId="0" quotePrefix="1" applyFont="1" applyFill="1" applyBorder="1" applyAlignment="1">
      <alignment horizontal="center" vertical="center"/>
    </xf>
    <xf numFmtId="0" fontId="14" fillId="8" borderId="44" xfId="0" quotePrefix="1" applyFont="1" applyFill="1" applyBorder="1" applyAlignment="1">
      <alignment horizontal="center" vertical="center"/>
    </xf>
    <xf numFmtId="0" fontId="15" fillId="0" borderId="0" xfId="0" applyFont="1">
      <alignment vertical="center"/>
    </xf>
    <xf numFmtId="0" fontId="0" fillId="0" borderId="0" xfId="0" applyFont="1" applyFill="1" applyBorder="1" applyAlignment="1">
      <alignment vertical="center"/>
    </xf>
    <xf numFmtId="0" fontId="0" fillId="0" borderId="0" xfId="0" applyAlignment="1">
      <alignment horizontal="center" vertical="center"/>
    </xf>
    <xf numFmtId="0" fontId="0" fillId="0" borderId="0" xfId="0" applyFont="1" applyFill="1" applyBorder="1" applyAlignment="1">
      <alignment horizontal="center" vertical="center"/>
    </xf>
    <xf numFmtId="14" fontId="0" fillId="0" borderId="0" xfId="0" applyNumberFormat="1" applyFont="1" applyFill="1" applyBorder="1" applyAlignment="1">
      <alignment horizontal="center" vertical="center"/>
    </xf>
    <xf numFmtId="0" fontId="16" fillId="0" borderId="0" xfId="0" applyFont="1" applyFill="1" applyBorder="1" applyAlignment="1">
      <alignment horizontal="center" vertical="center"/>
    </xf>
    <xf numFmtId="0" fontId="12" fillId="0" borderId="0" xfId="0" applyFont="1" applyFill="1" applyBorder="1" applyAlignment="1">
      <alignment horizontal="center" vertical="center"/>
    </xf>
    <xf numFmtId="0" fontId="4" fillId="9" borderId="1" xfId="0" applyFont="1" applyFill="1" applyBorder="1" applyAlignment="1">
      <alignment horizontal="centerContinuous" vertical="center"/>
    </xf>
    <xf numFmtId="0" fontId="3" fillId="9" borderId="1" xfId="0" applyFont="1" applyFill="1" applyBorder="1" applyAlignment="1">
      <alignment horizontal="centerContinuous" vertical="center"/>
    </xf>
    <xf numFmtId="0" fontId="0" fillId="0" borderId="0" xfId="0" applyFont="1" applyFill="1" applyAlignment="1">
      <alignment horizontal="center" vertical="center"/>
    </xf>
    <xf numFmtId="14" fontId="0" fillId="0" borderId="0" xfId="0" applyNumberFormat="1" applyFont="1" applyFill="1" applyAlignment="1">
      <alignment horizontal="center" vertical="center"/>
    </xf>
    <xf numFmtId="0" fontId="11" fillId="10" borderId="52" xfId="0" applyFont="1" applyFill="1" applyBorder="1" applyAlignment="1">
      <alignment horizontal="center" vertical="center"/>
    </xf>
    <xf numFmtId="0" fontId="1" fillId="10" borderId="51" xfId="0" applyFont="1" applyFill="1" applyBorder="1" applyAlignment="1">
      <alignment horizontal="center" vertical="center"/>
    </xf>
    <xf numFmtId="0" fontId="11" fillId="10" borderId="53" xfId="0" applyFont="1" applyFill="1" applyBorder="1" applyAlignment="1">
      <alignment horizontal="center" vertical="center"/>
    </xf>
    <xf numFmtId="14" fontId="11" fillId="10" borderId="52" xfId="0" applyNumberFormat="1" applyFont="1" applyFill="1" applyBorder="1" applyAlignment="1">
      <alignment horizontal="center" vertical="center"/>
    </xf>
    <xf numFmtId="0" fontId="4" fillId="7" borderId="33" xfId="0" applyFont="1" applyFill="1" applyBorder="1" applyAlignment="1">
      <alignment horizontal="center" vertical="center" wrapText="1"/>
    </xf>
    <xf numFmtId="0" fontId="4" fillId="7" borderId="33" xfId="0" applyFont="1" applyFill="1" applyBorder="1" applyAlignment="1">
      <alignment horizontal="center" vertical="center"/>
    </xf>
    <xf numFmtId="0" fontId="0" fillId="8" borderId="40" xfId="0" applyFill="1" applyBorder="1" applyAlignment="1">
      <alignment horizontal="left" vertical="center"/>
    </xf>
    <xf numFmtId="0" fontId="0" fillId="8" borderId="41" xfId="0" applyFill="1" applyBorder="1" applyAlignment="1">
      <alignment horizontal="left" vertical="center"/>
    </xf>
    <xf numFmtId="0" fontId="14" fillId="8" borderId="43" xfId="0" applyFont="1" applyFill="1" applyBorder="1" applyAlignment="1">
      <alignment horizontal="center" vertical="center"/>
    </xf>
    <xf numFmtId="0" fontId="14" fillId="8" borderId="44" xfId="0" applyFont="1" applyFill="1" applyBorder="1" applyAlignment="1">
      <alignment horizontal="center" vertical="center"/>
    </xf>
    <xf numFmtId="0" fontId="4" fillId="7" borderId="48" xfId="0" applyFont="1" applyFill="1" applyBorder="1" applyAlignment="1">
      <alignment horizontal="center" vertical="center" wrapText="1"/>
    </xf>
    <xf numFmtId="0" fontId="4" fillId="7" borderId="49" xfId="0" applyFont="1" applyFill="1" applyBorder="1" applyAlignment="1">
      <alignment horizontal="center" vertical="center"/>
    </xf>
    <xf numFmtId="0" fontId="4" fillId="7" borderId="50" xfId="0" applyFont="1" applyFill="1" applyBorder="1" applyAlignment="1">
      <alignment horizontal="center" vertical="center"/>
    </xf>
    <xf numFmtId="0" fontId="14" fillId="8" borderId="45" xfId="0" quotePrefix="1" applyFont="1" applyFill="1" applyBorder="1" applyAlignment="1">
      <alignment horizontal="center" vertical="center"/>
    </xf>
    <xf numFmtId="0" fontId="14" fillId="8" borderId="46" xfId="0" quotePrefix="1" applyFont="1" applyFill="1" applyBorder="1" applyAlignment="1">
      <alignment horizontal="center" vertical="center"/>
    </xf>
    <xf numFmtId="0" fontId="14" fillId="8" borderId="47" xfId="0" quotePrefix="1" applyFont="1" applyFill="1" applyBorder="1" applyAlignment="1">
      <alignment horizontal="center" vertical="center"/>
    </xf>
    <xf numFmtId="0" fontId="8" fillId="5" borderId="19" xfId="0" applyFont="1" applyFill="1" applyBorder="1" applyAlignment="1">
      <alignment horizontal="center" vertical="center"/>
    </xf>
    <xf numFmtId="0" fontId="8" fillId="5" borderId="20" xfId="0" applyFont="1" applyFill="1" applyBorder="1" applyAlignment="1">
      <alignment horizontal="center" vertical="center"/>
    </xf>
    <xf numFmtId="14" fontId="8" fillId="5" borderId="19" xfId="0" applyNumberFormat="1" applyFont="1" applyFill="1" applyBorder="1" applyAlignment="1">
      <alignment horizontal="center" vertical="center"/>
    </xf>
    <xf numFmtId="0" fontId="0" fillId="0" borderId="28" xfId="0" applyBorder="1" applyAlignment="1">
      <alignment horizontal="left" vertical="center" wrapText="1" indent="1"/>
    </xf>
    <xf numFmtId="0" fontId="0" fillId="0" borderId="32" xfId="0" applyBorder="1" applyAlignment="1">
      <alignment horizontal="left" vertical="center" wrapText="1" indent="1"/>
    </xf>
    <xf numFmtId="0" fontId="0" fillId="0" borderId="28" xfId="0" applyBorder="1" applyAlignment="1">
      <alignment horizontal="left" vertical="center" indent="1"/>
    </xf>
    <xf numFmtId="0" fontId="0" fillId="0" borderId="32" xfId="0" applyBorder="1" applyAlignment="1">
      <alignment horizontal="left" vertical="center" indent="1"/>
    </xf>
    <xf numFmtId="0" fontId="11" fillId="6" borderId="24" xfId="0" applyFont="1" applyFill="1" applyBorder="1" applyAlignment="1">
      <alignment horizontal="center" vertical="center"/>
    </xf>
    <xf numFmtId="0" fontId="12" fillId="0" borderId="27" xfId="0" applyFont="1" applyBorder="1" applyAlignment="1">
      <alignment horizontal="left" vertical="center" indent="1"/>
    </xf>
    <xf numFmtId="0" fontId="12" fillId="0" borderId="29" xfId="0" applyFont="1" applyBorder="1" applyAlignment="1">
      <alignment horizontal="left" vertical="center" indent="1"/>
    </xf>
    <xf numFmtId="0" fontId="12" fillId="0" borderId="31" xfId="0" applyFont="1" applyBorder="1" applyAlignment="1">
      <alignment horizontal="left" vertical="center" indent="1"/>
    </xf>
    <xf numFmtId="0" fontId="0" fillId="0" borderId="27" xfId="0" applyBorder="1" applyAlignment="1">
      <alignment horizontal="left" vertical="center" indent="1"/>
    </xf>
    <xf numFmtId="0" fontId="0" fillId="0" borderId="31" xfId="0" applyBorder="1" applyAlignment="1">
      <alignment horizontal="left" vertical="center" indent="1"/>
    </xf>
    <xf numFmtId="0" fontId="0" fillId="0" borderId="0" xfId="0" applyAlignment="1">
      <alignment horizontal="center" vertical="center"/>
    </xf>
  </cellXfs>
  <cellStyles count="2">
    <cellStyle name="쉼표 [0] 4" xfId="1" xr:uid="{39F16479-B96E-422D-8EC0-6E8C3036FBC7}"/>
    <cellStyle name="표준" xfId="0" builtinId="0"/>
  </cellStyles>
  <dxfs count="11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family val="2"/>
        <charset val="129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family val="2"/>
        <charset val="129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family val="2"/>
        <charset val="129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family val="2"/>
        <charset val="129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family val="2"/>
        <charset val="129"/>
        <scheme val="minor"/>
      </font>
      <numFmt numFmtId="19" formatCode="yyyy/mm/dd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family val="2"/>
        <charset val="129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family val="2"/>
        <charset val="129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family val="2"/>
        <charset val="129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family val="2"/>
        <charset val="129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family val="2"/>
        <charset val="129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family val="3"/>
        <charset val="129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</dxfs>
  <tableStyles count="1" defaultTableStyle="TableStyleMedium2" defaultPivotStyle="PivotStyleLight16">
    <tableStyle name="표 스타일 1" pivot="0" count="0" xr9:uid="{C18C3AD0-8E06-43B1-B646-F217AA225DD2}"/>
  </tableStyles>
  <colors>
    <mruColors>
      <color rgb="FFFFE5F9"/>
      <color rgb="FFFFFFCC"/>
      <color rgb="FFFF0000"/>
      <color rgb="FF008000"/>
      <color rgb="FFF4F9F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pivotCacheDefinition" Target="pivotCache/pivotCacheDefinition1.xml"/><Relationship Id="rId20" Type="http://schemas.openxmlformats.org/officeDocument/2006/relationships/sheetMetadata" Target="metadata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41416</xdr:colOff>
      <xdr:row>74</xdr:row>
      <xdr:rowOff>8286</xdr:rowOff>
    </xdr:from>
    <xdr:to>
      <xdr:col>15</xdr:col>
      <xdr:colOff>811700</xdr:colOff>
      <xdr:row>98</xdr:row>
      <xdr:rowOff>10674</xdr:rowOff>
    </xdr:to>
    <xdr:pic>
      <xdr:nvPicPr>
        <xdr:cNvPr id="3" name="그림 2">
          <a:extLst>
            <a:ext uri="{FF2B5EF4-FFF2-40B4-BE49-F238E27FC236}">
              <a16:creationId xmlns:a16="http://schemas.microsoft.com/office/drawing/2014/main" id="{E0BC941E-B789-4381-BADF-57D9F1883BD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68459" y="15331112"/>
          <a:ext cx="10643154" cy="4971953"/>
        </a:xfrm>
        <a:prstGeom prst="rect">
          <a:avLst/>
        </a:prstGeom>
        <a:solidFill>
          <a:schemeClr val="bg1"/>
        </a:solidFill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200025</xdr:colOff>
      <xdr:row>6</xdr:row>
      <xdr:rowOff>219075</xdr:rowOff>
    </xdr:from>
    <xdr:to>
      <xdr:col>12</xdr:col>
      <xdr:colOff>1219200</xdr:colOff>
      <xdr:row>6</xdr:row>
      <xdr:rowOff>581025</xdr:rowOff>
    </xdr:to>
    <xdr:sp macro="" textlink="">
      <xdr:nvSpPr>
        <xdr:cNvPr id="3" name="직사각형 2">
          <a:extLst>
            <a:ext uri="{FF2B5EF4-FFF2-40B4-BE49-F238E27FC236}">
              <a16:creationId xmlns:a16="http://schemas.microsoft.com/office/drawing/2014/main" id="{539F7422-E975-447B-AD99-F9EDAA7FD99B}"/>
            </a:ext>
          </a:extLst>
        </xdr:cNvPr>
        <xdr:cNvSpPr/>
      </xdr:nvSpPr>
      <xdr:spPr>
        <a:xfrm>
          <a:off x="13211175" y="2200275"/>
          <a:ext cx="1238250" cy="361950"/>
        </a:xfrm>
        <a:prstGeom prst="rect">
          <a:avLst/>
        </a:prstGeom>
        <a:solidFill>
          <a:srgbClr val="FF0000">
            <a:alpha val="20000"/>
          </a:srgbClr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1495425</xdr:colOff>
      <xdr:row>6</xdr:row>
      <xdr:rowOff>219075</xdr:rowOff>
    </xdr:from>
    <xdr:to>
      <xdr:col>12</xdr:col>
      <xdr:colOff>1924050</xdr:colOff>
      <xdr:row>6</xdr:row>
      <xdr:rowOff>581025</xdr:rowOff>
    </xdr:to>
    <xdr:sp macro="" textlink="">
      <xdr:nvSpPr>
        <xdr:cNvPr id="4" name="직사각형 3">
          <a:extLst>
            <a:ext uri="{FF2B5EF4-FFF2-40B4-BE49-F238E27FC236}">
              <a16:creationId xmlns:a16="http://schemas.microsoft.com/office/drawing/2014/main" id="{7DE59B02-908E-4D64-9FE7-B7A871DDA481}"/>
            </a:ext>
          </a:extLst>
        </xdr:cNvPr>
        <xdr:cNvSpPr/>
      </xdr:nvSpPr>
      <xdr:spPr>
        <a:xfrm>
          <a:off x="14725650" y="2200275"/>
          <a:ext cx="428625" cy="361950"/>
        </a:xfrm>
        <a:prstGeom prst="rect">
          <a:avLst/>
        </a:prstGeom>
        <a:solidFill>
          <a:srgbClr val="FF0000">
            <a:alpha val="20000"/>
          </a:srgbClr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38101</xdr:colOff>
      <xdr:row>5</xdr:row>
      <xdr:rowOff>247650</xdr:rowOff>
    </xdr:from>
    <xdr:to>
      <xdr:col>12</xdr:col>
      <xdr:colOff>590551</xdr:colOff>
      <xdr:row>6</xdr:row>
      <xdr:rowOff>123825</xdr:rowOff>
    </xdr:to>
    <xdr:sp macro="" textlink="">
      <xdr:nvSpPr>
        <xdr:cNvPr id="5" name="설명선: 선 4">
          <a:extLst>
            <a:ext uri="{FF2B5EF4-FFF2-40B4-BE49-F238E27FC236}">
              <a16:creationId xmlns:a16="http://schemas.microsoft.com/office/drawing/2014/main" id="{ABE356D8-C56D-4763-A3B0-64DFBB48C425}"/>
            </a:ext>
          </a:extLst>
        </xdr:cNvPr>
        <xdr:cNvSpPr/>
      </xdr:nvSpPr>
      <xdr:spPr>
        <a:xfrm>
          <a:off x="13268326" y="1781175"/>
          <a:ext cx="552450" cy="323850"/>
        </a:xfrm>
        <a:prstGeom prst="borderCallout1">
          <a:avLst>
            <a:gd name="adj1" fmla="val 58824"/>
            <a:gd name="adj2" fmla="val 105240"/>
            <a:gd name="adj3" fmla="val 122610"/>
            <a:gd name="adj4" fmla="val 140573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rgbClr val="0070C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>
              <a:solidFill>
                <a:schemeClr val="tx1"/>
              </a:solidFill>
            </a:rPr>
            <a:t>배열</a:t>
          </a:r>
        </a:p>
      </xdr:txBody>
    </xdr:sp>
    <xdr:clientData/>
  </xdr:twoCellAnchor>
  <xdr:twoCellAnchor>
    <xdr:from>
      <xdr:col>12</xdr:col>
      <xdr:colOff>1685925</xdr:colOff>
      <xdr:row>5</xdr:row>
      <xdr:rowOff>276225</xdr:rowOff>
    </xdr:from>
    <xdr:to>
      <xdr:col>14</xdr:col>
      <xdr:colOff>209550</xdr:colOff>
      <xdr:row>6</xdr:row>
      <xdr:rowOff>152400</xdr:rowOff>
    </xdr:to>
    <xdr:sp macro="" textlink="">
      <xdr:nvSpPr>
        <xdr:cNvPr id="6" name="설명선: 선 5">
          <a:extLst>
            <a:ext uri="{FF2B5EF4-FFF2-40B4-BE49-F238E27FC236}">
              <a16:creationId xmlns:a16="http://schemas.microsoft.com/office/drawing/2014/main" id="{F969F0D5-721D-4292-8A2E-8E879E7C37DD}"/>
            </a:ext>
          </a:extLst>
        </xdr:cNvPr>
        <xdr:cNvSpPr/>
      </xdr:nvSpPr>
      <xdr:spPr>
        <a:xfrm>
          <a:off x="14916150" y="1809750"/>
          <a:ext cx="695325" cy="323850"/>
        </a:xfrm>
        <a:prstGeom prst="borderCallout1">
          <a:avLst>
            <a:gd name="adj1" fmla="val 52941"/>
            <a:gd name="adj2" fmla="val -2530"/>
            <a:gd name="adj3" fmla="val 107904"/>
            <a:gd name="adj4" fmla="val -11671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rgbClr val="0070C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>
              <a:solidFill>
                <a:schemeClr val="tx1"/>
              </a:solidFill>
            </a:rPr>
            <a:t>셀주소</a:t>
          </a:r>
        </a:p>
      </xdr:txBody>
    </xdr:sp>
    <xdr:clientData/>
  </xdr:twoCellAnchor>
  <xdr:twoCellAnchor editAs="oneCell">
    <xdr:from>
      <xdr:col>4</xdr:col>
      <xdr:colOff>638174</xdr:colOff>
      <xdr:row>5</xdr:row>
      <xdr:rowOff>133350</xdr:rowOff>
    </xdr:from>
    <xdr:to>
      <xdr:col>9</xdr:col>
      <xdr:colOff>582323</xdr:colOff>
      <xdr:row>8</xdr:row>
      <xdr:rowOff>333375</xdr:rowOff>
    </xdr:to>
    <xdr:pic>
      <xdr:nvPicPr>
        <xdr:cNvPr id="7" name="그림 6">
          <a:extLst>
            <a:ext uri="{FF2B5EF4-FFF2-40B4-BE49-F238E27FC236}">
              <a16:creationId xmlns:a16="http://schemas.microsoft.com/office/drawing/2014/main" id="{766CDBA1-A7A3-424E-BE28-1123A4C91CD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791324" y="1647825"/>
          <a:ext cx="3373149" cy="1514475"/>
        </a:xfrm>
        <a:custGeom>
          <a:avLst/>
          <a:gdLst>
            <a:gd name="connsiteX0" fmla="*/ 0 w 3373149"/>
            <a:gd name="connsiteY0" fmla="*/ 0 h 1514475"/>
            <a:gd name="connsiteX1" fmla="*/ 595923 w 3373149"/>
            <a:gd name="connsiteY1" fmla="*/ 0 h 1514475"/>
            <a:gd name="connsiteX2" fmla="*/ 1225577 w 3373149"/>
            <a:gd name="connsiteY2" fmla="*/ 0 h 1514475"/>
            <a:gd name="connsiteX3" fmla="*/ 1855232 w 3373149"/>
            <a:gd name="connsiteY3" fmla="*/ 0 h 1514475"/>
            <a:gd name="connsiteX4" fmla="*/ 2316229 w 3373149"/>
            <a:gd name="connsiteY4" fmla="*/ 0 h 1514475"/>
            <a:gd name="connsiteX5" fmla="*/ 2878420 w 3373149"/>
            <a:gd name="connsiteY5" fmla="*/ 0 h 1514475"/>
            <a:gd name="connsiteX6" fmla="*/ 3373149 w 3373149"/>
            <a:gd name="connsiteY6" fmla="*/ 0 h 1514475"/>
            <a:gd name="connsiteX7" fmla="*/ 3373149 w 3373149"/>
            <a:gd name="connsiteY7" fmla="*/ 474535 h 1514475"/>
            <a:gd name="connsiteX8" fmla="*/ 3373149 w 3373149"/>
            <a:gd name="connsiteY8" fmla="*/ 949071 h 1514475"/>
            <a:gd name="connsiteX9" fmla="*/ 3373149 w 3373149"/>
            <a:gd name="connsiteY9" fmla="*/ 1514475 h 1514475"/>
            <a:gd name="connsiteX10" fmla="*/ 2912152 w 3373149"/>
            <a:gd name="connsiteY10" fmla="*/ 1514475 h 1514475"/>
            <a:gd name="connsiteX11" fmla="*/ 2316229 w 3373149"/>
            <a:gd name="connsiteY11" fmla="*/ 1514475 h 1514475"/>
            <a:gd name="connsiteX12" fmla="*/ 1855232 w 3373149"/>
            <a:gd name="connsiteY12" fmla="*/ 1514475 h 1514475"/>
            <a:gd name="connsiteX13" fmla="*/ 1225577 w 3373149"/>
            <a:gd name="connsiteY13" fmla="*/ 1514475 h 1514475"/>
            <a:gd name="connsiteX14" fmla="*/ 730849 w 3373149"/>
            <a:gd name="connsiteY14" fmla="*/ 1514475 h 1514475"/>
            <a:gd name="connsiteX15" fmla="*/ 0 w 3373149"/>
            <a:gd name="connsiteY15" fmla="*/ 1514475 h 1514475"/>
            <a:gd name="connsiteX16" fmla="*/ 0 w 3373149"/>
            <a:gd name="connsiteY16" fmla="*/ 1039940 h 1514475"/>
            <a:gd name="connsiteX17" fmla="*/ 0 w 3373149"/>
            <a:gd name="connsiteY17" fmla="*/ 504825 h 1514475"/>
            <a:gd name="connsiteX18" fmla="*/ 0 w 3373149"/>
            <a:gd name="connsiteY18" fmla="*/ 0 h 1514475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</a:cxnLst>
          <a:rect l="l" t="t" r="r" b="b"/>
          <a:pathLst>
            <a:path w="3373149" h="1514475" fill="none" extrusionOk="0">
              <a:moveTo>
                <a:pt x="0" y="0"/>
              </a:moveTo>
              <a:cubicBezTo>
                <a:pt x="151127" y="-11935"/>
                <a:pt x="304824" y="20024"/>
                <a:pt x="595923" y="0"/>
              </a:cubicBezTo>
              <a:cubicBezTo>
                <a:pt x="887022" y="-20024"/>
                <a:pt x="968737" y="61122"/>
                <a:pt x="1225577" y="0"/>
              </a:cubicBezTo>
              <a:cubicBezTo>
                <a:pt x="1482417" y="-61122"/>
                <a:pt x="1633992" y="52645"/>
                <a:pt x="1855232" y="0"/>
              </a:cubicBezTo>
              <a:cubicBezTo>
                <a:pt x="2076473" y="-52645"/>
                <a:pt x="2143027" y="22656"/>
                <a:pt x="2316229" y="0"/>
              </a:cubicBezTo>
              <a:cubicBezTo>
                <a:pt x="2489431" y="-22656"/>
                <a:pt x="2643845" y="66678"/>
                <a:pt x="2878420" y="0"/>
              </a:cubicBezTo>
              <a:cubicBezTo>
                <a:pt x="3112995" y="-66678"/>
                <a:pt x="3254961" y="46819"/>
                <a:pt x="3373149" y="0"/>
              </a:cubicBezTo>
              <a:cubicBezTo>
                <a:pt x="3409840" y="226500"/>
                <a:pt x="3355961" y="309622"/>
                <a:pt x="3373149" y="474535"/>
              </a:cubicBezTo>
              <a:cubicBezTo>
                <a:pt x="3390337" y="639449"/>
                <a:pt x="3366045" y="743942"/>
                <a:pt x="3373149" y="949071"/>
              </a:cubicBezTo>
              <a:cubicBezTo>
                <a:pt x="3380253" y="1154200"/>
                <a:pt x="3352008" y="1295104"/>
                <a:pt x="3373149" y="1514475"/>
              </a:cubicBezTo>
              <a:cubicBezTo>
                <a:pt x="3180773" y="1549285"/>
                <a:pt x="3127072" y="1473048"/>
                <a:pt x="2912152" y="1514475"/>
              </a:cubicBezTo>
              <a:cubicBezTo>
                <a:pt x="2697232" y="1555902"/>
                <a:pt x="2613657" y="1508724"/>
                <a:pt x="2316229" y="1514475"/>
              </a:cubicBezTo>
              <a:cubicBezTo>
                <a:pt x="2018801" y="1520226"/>
                <a:pt x="1974438" y="1488824"/>
                <a:pt x="1855232" y="1514475"/>
              </a:cubicBezTo>
              <a:cubicBezTo>
                <a:pt x="1736026" y="1540126"/>
                <a:pt x="1508536" y="1496443"/>
                <a:pt x="1225577" y="1514475"/>
              </a:cubicBezTo>
              <a:cubicBezTo>
                <a:pt x="942618" y="1532507"/>
                <a:pt x="869881" y="1465915"/>
                <a:pt x="730849" y="1514475"/>
              </a:cubicBezTo>
              <a:cubicBezTo>
                <a:pt x="591817" y="1563035"/>
                <a:pt x="177114" y="1471194"/>
                <a:pt x="0" y="1514475"/>
              </a:cubicBezTo>
              <a:cubicBezTo>
                <a:pt x="-37274" y="1359376"/>
                <a:pt x="21410" y="1177796"/>
                <a:pt x="0" y="1039940"/>
              </a:cubicBezTo>
              <a:cubicBezTo>
                <a:pt x="-21410" y="902084"/>
                <a:pt x="22251" y="732658"/>
                <a:pt x="0" y="504825"/>
              </a:cubicBezTo>
              <a:cubicBezTo>
                <a:pt x="-22251" y="276992"/>
                <a:pt x="37861" y="208217"/>
                <a:pt x="0" y="0"/>
              </a:cubicBezTo>
              <a:close/>
            </a:path>
            <a:path w="3373149" h="1514475" stroke="0" extrusionOk="0">
              <a:moveTo>
                <a:pt x="0" y="0"/>
              </a:moveTo>
              <a:cubicBezTo>
                <a:pt x="273643" y="-58743"/>
                <a:pt x="315522" y="28960"/>
                <a:pt x="562192" y="0"/>
              </a:cubicBezTo>
              <a:cubicBezTo>
                <a:pt x="808862" y="-28960"/>
                <a:pt x="1065330" y="43518"/>
                <a:pt x="1191846" y="0"/>
              </a:cubicBezTo>
              <a:cubicBezTo>
                <a:pt x="1318362" y="-43518"/>
                <a:pt x="1528662" y="34777"/>
                <a:pt x="1652843" y="0"/>
              </a:cubicBezTo>
              <a:cubicBezTo>
                <a:pt x="1777024" y="-34777"/>
                <a:pt x="1888176" y="15857"/>
                <a:pt x="2113840" y="0"/>
              </a:cubicBezTo>
              <a:cubicBezTo>
                <a:pt x="2339504" y="-15857"/>
                <a:pt x="2405201" y="61591"/>
                <a:pt x="2642300" y="0"/>
              </a:cubicBezTo>
              <a:cubicBezTo>
                <a:pt x="2879399" y="-61591"/>
                <a:pt x="3015000" y="5151"/>
                <a:pt x="3373149" y="0"/>
              </a:cubicBezTo>
              <a:cubicBezTo>
                <a:pt x="3390451" y="182986"/>
                <a:pt x="3365601" y="374826"/>
                <a:pt x="3373149" y="535115"/>
              </a:cubicBezTo>
              <a:cubicBezTo>
                <a:pt x="3380697" y="695404"/>
                <a:pt x="3345992" y="889393"/>
                <a:pt x="3373149" y="1009650"/>
              </a:cubicBezTo>
              <a:cubicBezTo>
                <a:pt x="3400306" y="1129907"/>
                <a:pt x="3337574" y="1273255"/>
                <a:pt x="3373149" y="1514475"/>
              </a:cubicBezTo>
              <a:cubicBezTo>
                <a:pt x="3124600" y="1548851"/>
                <a:pt x="3011627" y="1500185"/>
                <a:pt x="2743495" y="1514475"/>
              </a:cubicBezTo>
              <a:cubicBezTo>
                <a:pt x="2475363" y="1528765"/>
                <a:pt x="2440256" y="1505037"/>
                <a:pt x="2282497" y="1514475"/>
              </a:cubicBezTo>
              <a:cubicBezTo>
                <a:pt x="2124738" y="1523913"/>
                <a:pt x="1851891" y="1498763"/>
                <a:pt x="1720306" y="1514475"/>
              </a:cubicBezTo>
              <a:cubicBezTo>
                <a:pt x="1588721" y="1530187"/>
                <a:pt x="1450449" y="1488007"/>
                <a:pt x="1225577" y="1514475"/>
              </a:cubicBezTo>
              <a:cubicBezTo>
                <a:pt x="1000705" y="1540943"/>
                <a:pt x="887175" y="1504688"/>
                <a:pt x="663386" y="1514475"/>
              </a:cubicBezTo>
              <a:cubicBezTo>
                <a:pt x="439597" y="1524262"/>
                <a:pt x="151268" y="1513372"/>
                <a:pt x="0" y="1514475"/>
              </a:cubicBezTo>
              <a:cubicBezTo>
                <a:pt x="-37117" y="1323183"/>
                <a:pt x="9031" y="1245730"/>
                <a:pt x="0" y="1055084"/>
              </a:cubicBezTo>
              <a:cubicBezTo>
                <a:pt x="-9031" y="864438"/>
                <a:pt x="21327" y="811720"/>
                <a:pt x="0" y="580549"/>
              </a:cubicBezTo>
              <a:cubicBezTo>
                <a:pt x="-21327" y="349379"/>
                <a:pt x="55406" y="234435"/>
                <a:pt x="0" y="0"/>
              </a:cubicBezTo>
              <a:close/>
            </a:path>
          </a:pathLst>
        </a:custGeom>
        <a:solidFill>
          <a:srgbClr val="FFFFCC"/>
        </a:solidFill>
        <a:ln w="28575">
          <a:solidFill>
            <a:schemeClr val="accent4">
              <a:lumMod val="60000"/>
              <a:lumOff val="40000"/>
            </a:schemeClr>
          </a:solidFill>
          <a:extLst>
            <a:ext uri="{C807C97D-BFC1-408E-A445-0C87EB9F89A2}">
              <ask:lineSketchStyleProps xmlns:ask="http://schemas.microsoft.com/office/drawing/2018/sketchyshapes" sd="1641322745">
                <a:prstGeom prst="rect">
                  <a:avLst/>
                </a:prstGeom>
                <ask:type>
                  <ask:lineSketchScribble/>
                </ask:type>
              </ask:lineSketchStyleProps>
            </a:ext>
          </a:extLst>
        </a:ln>
      </xdr:spPr>
    </xdr:pic>
    <xdr:clientData/>
  </xdr:twoCellAnchor>
  <xdr:twoCellAnchor>
    <xdr:from>
      <xdr:col>3</xdr:col>
      <xdr:colOff>1600200</xdr:colOff>
      <xdr:row>6</xdr:row>
      <xdr:rowOff>123825</xdr:rowOff>
    </xdr:from>
    <xdr:to>
      <xdr:col>4</xdr:col>
      <xdr:colOff>638175</xdr:colOff>
      <xdr:row>6</xdr:row>
      <xdr:rowOff>247650</xdr:rowOff>
    </xdr:to>
    <xdr:cxnSp macro="">
      <xdr:nvCxnSpPr>
        <xdr:cNvPr id="13" name="직선 화살표 연결선 12">
          <a:extLst>
            <a:ext uri="{FF2B5EF4-FFF2-40B4-BE49-F238E27FC236}">
              <a16:creationId xmlns:a16="http://schemas.microsoft.com/office/drawing/2014/main" id="{B25F9D9F-AB0D-43E7-BBA9-AEBF14EA0D6C}"/>
            </a:ext>
          </a:extLst>
        </xdr:cNvPr>
        <xdr:cNvCxnSpPr/>
      </xdr:nvCxnSpPr>
      <xdr:spPr>
        <a:xfrm flipV="1">
          <a:off x="2952750" y="2133600"/>
          <a:ext cx="3286125" cy="123825"/>
        </a:xfrm>
        <a:prstGeom prst="straightConnector1">
          <a:avLst/>
        </a:prstGeom>
        <a:ln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7</xdr:col>
      <xdr:colOff>190500</xdr:colOff>
      <xdr:row>21</xdr:row>
      <xdr:rowOff>161925</xdr:rowOff>
    </xdr:from>
    <xdr:to>
      <xdr:col>20</xdr:col>
      <xdr:colOff>581406</xdr:colOff>
      <xdr:row>30</xdr:row>
      <xdr:rowOff>127965</xdr:rowOff>
    </xdr:to>
    <xdr:grpSp>
      <xdr:nvGrpSpPr>
        <xdr:cNvPr id="2" name="그룹 1">
          <a:extLst>
            <a:ext uri="{FF2B5EF4-FFF2-40B4-BE49-F238E27FC236}">
              <a16:creationId xmlns:a16="http://schemas.microsoft.com/office/drawing/2014/main" id="{800658AE-1FC5-4E6C-B9CF-10A7FCB86C70}"/>
            </a:ext>
          </a:extLst>
        </xdr:cNvPr>
        <xdr:cNvGrpSpPr/>
      </xdr:nvGrpSpPr>
      <xdr:grpSpPr>
        <a:xfrm>
          <a:off x="4276725" y="4505325"/>
          <a:ext cx="7506081" cy="1851990"/>
          <a:chOff x="7098195" y="3429000"/>
          <a:chExt cx="9798327" cy="3039717"/>
        </a:xfrm>
      </xdr:grpSpPr>
      <xdr:sp macro="" textlink="">
        <xdr:nvSpPr>
          <xdr:cNvPr id="3" name="사각형: 둥근 모서리 2">
            <a:extLst>
              <a:ext uri="{FF2B5EF4-FFF2-40B4-BE49-F238E27FC236}">
                <a16:creationId xmlns:a16="http://schemas.microsoft.com/office/drawing/2014/main" id="{ED0B216D-059B-423D-A178-3815653B7600}"/>
              </a:ext>
            </a:extLst>
          </xdr:cNvPr>
          <xdr:cNvSpPr/>
        </xdr:nvSpPr>
        <xdr:spPr>
          <a:xfrm>
            <a:off x="7098195" y="3429000"/>
            <a:ext cx="9798327" cy="3039717"/>
          </a:xfrm>
          <a:prstGeom prst="roundRect">
            <a:avLst>
              <a:gd name="adj" fmla="val 6416"/>
            </a:avLst>
          </a:prstGeom>
          <a:solidFill>
            <a:schemeClr val="accent4">
              <a:lumMod val="20000"/>
              <a:lumOff val="80000"/>
            </a:schemeClr>
          </a:solidFill>
          <a:ln w="57150">
            <a:solidFill>
              <a:srgbClr val="FFC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900"/>
          </a:p>
        </xdr:txBody>
      </xdr:sp>
      <xdr:sp macro="" textlink="">
        <xdr:nvSpPr>
          <xdr:cNvPr id="4" name="직사각형 3">
            <a:extLst>
              <a:ext uri="{FF2B5EF4-FFF2-40B4-BE49-F238E27FC236}">
                <a16:creationId xmlns:a16="http://schemas.microsoft.com/office/drawing/2014/main" id="{CF15BBD2-4D04-4DB1-A5C6-F05DF05299BC}"/>
              </a:ext>
            </a:extLst>
          </xdr:cNvPr>
          <xdr:cNvSpPr/>
        </xdr:nvSpPr>
        <xdr:spPr>
          <a:xfrm>
            <a:off x="7313544" y="3636065"/>
            <a:ext cx="9442174" cy="1267239"/>
          </a:xfrm>
          <a:prstGeom prst="rect">
            <a:avLst/>
          </a:prstGeom>
          <a:solidFill>
            <a:schemeClr val="bg1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altLang="ko-KR" sz="2400" b="1">
                <a:solidFill>
                  <a:schemeClr val="tx1"/>
                </a:solidFill>
                <a:latin typeface="나눔고딕" panose="020D0604000000000000" pitchFamily="50" charset="-127"/>
                <a:ea typeface="나눔고딕" panose="020D0604000000000000" pitchFamily="50" charset="-127"/>
              </a:rPr>
              <a:t>= FILTER (     B : J     ,  C : C = M2  ,      ""      ) </a:t>
            </a:r>
            <a:endParaRPr lang="ko-KR" altLang="en-US" sz="2400" b="1">
              <a:solidFill>
                <a:schemeClr val="tx1"/>
              </a:solidFill>
              <a:latin typeface="나눔고딕" panose="020D0604000000000000" pitchFamily="50" charset="-127"/>
              <a:ea typeface="나눔고딕" panose="020D0604000000000000" pitchFamily="50" charset="-127"/>
            </a:endParaRPr>
          </a:p>
        </xdr:txBody>
      </xdr:sp>
      <xdr:sp macro="" textlink="">
        <xdr:nvSpPr>
          <xdr:cNvPr id="5" name="직사각형 4">
            <a:extLst>
              <a:ext uri="{FF2B5EF4-FFF2-40B4-BE49-F238E27FC236}">
                <a16:creationId xmlns:a16="http://schemas.microsoft.com/office/drawing/2014/main" id="{7A912C02-4A41-46FE-84F0-754D9F616DA4}"/>
              </a:ext>
            </a:extLst>
          </xdr:cNvPr>
          <xdr:cNvSpPr/>
        </xdr:nvSpPr>
        <xdr:spPr>
          <a:xfrm>
            <a:off x="7313544" y="4994416"/>
            <a:ext cx="9442174" cy="1267239"/>
          </a:xfrm>
          <a:prstGeom prst="rect">
            <a:avLst/>
          </a:prstGeom>
          <a:solidFill>
            <a:schemeClr val="bg1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altLang="ko-KR" sz="2400" b="1">
                <a:solidFill>
                  <a:schemeClr val="tx1"/>
                </a:solidFill>
                <a:latin typeface="나눔고딕" panose="020D0604000000000000" pitchFamily="50" charset="-127"/>
                <a:ea typeface="나눔고딕" panose="020D0604000000000000" pitchFamily="50" charset="-127"/>
              </a:rPr>
              <a:t>= FILTER (        </a:t>
            </a:r>
            <a:r>
              <a:rPr lang="ko-KR" altLang="en-US" sz="2400" b="1" baseline="0">
                <a:solidFill>
                  <a:schemeClr val="tx1"/>
                </a:solidFill>
                <a:latin typeface="나눔고딕" panose="020D0604000000000000" pitchFamily="50" charset="-127"/>
                <a:ea typeface="나눔고딕" panose="020D0604000000000000" pitchFamily="50" charset="-127"/>
              </a:rPr>
              <a:t>         </a:t>
            </a:r>
            <a:r>
              <a:rPr lang="en-US" altLang="ko-KR" sz="2400" b="1">
                <a:solidFill>
                  <a:schemeClr val="tx1"/>
                </a:solidFill>
                <a:latin typeface="나눔고딕" panose="020D0604000000000000" pitchFamily="50" charset="-127"/>
                <a:ea typeface="나눔고딕" panose="020D0604000000000000" pitchFamily="50" charset="-127"/>
              </a:rPr>
              <a:t>,    </a:t>
            </a:r>
            <a:r>
              <a:rPr lang="en-US" altLang="ko-KR" sz="2400" b="1" baseline="0">
                <a:solidFill>
                  <a:schemeClr val="tx1"/>
                </a:solidFill>
                <a:latin typeface="나눔고딕" panose="020D0604000000000000" pitchFamily="50" charset="-127"/>
                <a:ea typeface="나눔고딕" panose="020D0604000000000000" pitchFamily="50" charset="-127"/>
              </a:rPr>
              <a:t>                  </a:t>
            </a:r>
            <a:r>
              <a:rPr lang="en-US" altLang="ko-KR" sz="2400" b="1">
                <a:solidFill>
                  <a:schemeClr val="tx1"/>
                </a:solidFill>
                <a:latin typeface="나눔고딕" panose="020D0604000000000000" pitchFamily="50" charset="-127"/>
                <a:ea typeface="나눔고딕" panose="020D0604000000000000" pitchFamily="50" charset="-127"/>
              </a:rPr>
              <a:t>, </a:t>
            </a:r>
            <a:r>
              <a:rPr lang="en-US" altLang="ko-KR" sz="2400" b="1" baseline="0">
                <a:solidFill>
                  <a:schemeClr val="tx1"/>
                </a:solidFill>
                <a:latin typeface="나눔고딕" panose="020D0604000000000000" pitchFamily="50" charset="-127"/>
                <a:ea typeface="나눔고딕" panose="020D0604000000000000" pitchFamily="50" charset="-127"/>
              </a:rPr>
              <a:t>             </a:t>
            </a:r>
            <a:r>
              <a:rPr lang="en-US" altLang="ko-KR" sz="2400" b="1">
                <a:solidFill>
                  <a:schemeClr val="tx1"/>
                </a:solidFill>
                <a:latin typeface="나눔고딕" panose="020D0604000000000000" pitchFamily="50" charset="-127"/>
                <a:ea typeface="나눔고딕" panose="020D0604000000000000" pitchFamily="50" charset="-127"/>
              </a:rPr>
              <a:t>) </a:t>
            </a:r>
            <a:endParaRPr lang="ko-KR" altLang="en-US" sz="2400" b="1">
              <a:solidFill>
                <a:schemeClr val="tx1"/>
              </a:solidFill>
              <a:latin typeface="나눔고딕" panose="020D0604000000000000" pitchFamily="50" charset="-127"/>
              <a:ea typeface="나눔고딕" panose="020D0604000000000000" pitchFamily="50" charset="-127"/>
            </a:endParaRPr>
          </a:p>
        </xdr:txBody>
      </xdr:sp>
      <xdr:sp macro="" textlink="">
        <xdr:nvSpPr>
          <xdr:cNvPr id="6" name="직사각형 5">
            <a:extLst>
              <a:ext uri="{FF2B5EF4-FFF2-40B4-BE49-F238E27FC236}">
                <a16:creationId xmlns:a16="http://schemas.microsoft.com/office/drawing/2014/main" id="{B6F4B571-CA65-43A2-8FFA-CA19A557A10C}"/>
              </a:ext>
            </a:extLst>
          </xdr:cNvPr>
          <xdr:cNvSpPr/>
        </xdr:nvSpPr>
        <xdr:spPr>
          <a:xfrm>
            <a:off x="9856500" y="5117820"/>
            <a:ext cx="1804897" cy="1000163"/>
          </a:xfrm>
          <a:prstGeom prst="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l"/>
            <a:r>
              <a:rPr lang="en-US" altLang="ko-KR" sz="1100" b="1">
                <a:ln>
                  <a:noFill/>
                </a:ln>
                <a:solidFill>
                  <a:schemeClr val="tx1"/>
                </a:solidFill>
              </a:rPr>
              <a:t>- </a:t>
            </a:r>
            <a:r>
              <a:rPr lang="ko-KR" altLang="en-US" sz="1100" b="1" baseline="0">
                <a:ln>
                  <a:noFill/>
                </a:ln>
                <a:solidFill>
                  <a:schemeClr val="tx1"/>
                </a:solidFill>
              </a:rPr>
              <a:t>참조범위</a:t>
            </a:r>
            <a:endParaRPr lang="en-US" altLang="ko-KR" sz="1100" b="1" baseline="0">
              <a:ln>
                <a:noFill/>
              </a:ln>
              <a:solidFill>
                <a:schemeClr val="tx1"/>
              </a:solidFill>
            </a:endParaRPr>
          </a:p>
          <a:p>
            <a:pPr algn="l"/>
            <a:r>
              <a:rPr lang="en-US" altLang="ko-KR" sz="1100" b="1" baseline="0">
                <a:ln>
                  <a:noFill/>
                </a:ln>
                <a:solidFill>
                  <a:schemeClr val="tx1"/>
                </a:solidFill>
              </a:rPr>
              <a:t>- </a:t>
            </a:r>
            <a:r>
              <a:rPr lang="ko-KR" altLang="en-US" sz="1100" b="1" baseline="0">
                <a:ln>
                  <a:noFill/>
                </a:ln>
                <a:solidFill>
                  <a:schemeClr val="tx1"/>
                </a:solidFill>
              </a:rPr>
              <a:t>표전체 및 일부가능 </a:t>
            </a:r>
            <a:endParaRPr lang="en-US" altLang="ko-KR" sz="1100" b="1">
              <a:ln>
                <a:noFill/>
              </a:ln>
              <a:solidFill>
                <a:schemeClr val="tx1"/>
              </a:solidFill>
            </a:endParaRPr>
          </a:p>
        </xdr:txBody>
      </xdr:sp>
      <xdr:sp macro="" textlink="">
        <xdr:nvSpPr>
          <xdr:cNvPr id="7" name="직사각형 6">
            <a:extLst>
              <a:ext uri="{FF2B5EF4-FFF2-40B4-BE49-F238E27FC236}">
                <a16:creationId xmlns:a16="http://schemas.microsoft.com/office/drawing/2014/main" id="{7A047B65-2048-4708-B78E-C18DA6BB7064}"/>
              </a:ext>
            </a:extLst>
          </xdr:cNvPr>
          <xdr:cNvSpPr/>
        </xdr:nvSpPr>
        <xdr:spPr>
          <a:xfrm>
            <a:off x="11889714" y="5115955"/>
            <a:ext cx="2370347" cy="970760"/>
          </a:xfrm>
          <a:prstGeom prst="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l"/>
            <a:r>
              <a:rPr lang="en-US" altLang="ko-KR" sz="1100" b="1">
                <a:ln>
                  <a:noFill/>
                </a:ln>
                <a:solidFill>
                  <a:schemeClr val="tx1"/>
                </a:solidFill>
                <a:latin typeface="+mj-ea"/>
                <a:ea typeface="+mj-ea"/>
              </a:rPr>
              <a:t>- </a:t>
            </a:r>
            <a:r>
              <a:rPr lang="ko-KR" altLang="en-US" sz="1100" b="1">
                <a:ln>
                  <a:noFill/>
                </a:ln>
                <a:solidFill>
                  <a:schemeClr val="tx1"/>
                </a:solidFill>
                <a:latin typeface="+mj-ea"/>
                <a:ea typeface="+mj-ea"/>
              </a:rPr>
              <a:t>조건</a:t>
            </a:r>
            <a:r>
              <a:rPr lang="ko-KR" altLang="en-US" sz="1100" b="1" baseline="0">
                <a:ln>
                  <a:noFill/>
                </a:ln>
                <a:solidFill>
                  <a:schemeClr val="tx1"/>
                </a:solidFill>
                <a:latin typeface="+mj-ea"/>
                <a:ea typeface="+mj-ea"/>
              </a:rPr>
              <a:t> 입력</a:t>
            </a:r>
            <a:endParaRPr lang="en-US" altLang="ko-KR" sz="1100" b="1" baseline="0">
              <a:ln>
                <a:noFill/>
              </a:ln>
              <a:solidFill>
                <a:schemeClr val="tx1"/>
              </a:solidFill>
              <a:latin typeface="+mj-ea"/>
              <a:ea typeface="+mj-ea"/>
            </a:endParaRPr>
          </a:p>
          <a:p>
            <a:pPr algn="l"/>
            <a:r>
              <a:rPr lang="en-US" altLang="ko-KR" sz="1100" b="1" baseline="0">
                <a:ln>
                  <a:noFill/>
                </a:ln>
                <a:solidFill>
                  <a:schemeClr val="tx1"/>
                </a:solidFill>
                <a:latin typeface="+mj-ea"/>
                <a:ea typeface="+mj-ea"/>
              </a:rPr>
              <a:t>- </a:t>
            </a:r>
            <a:r>
              <a:rPr lang="ko-KR" altLang="en-US" sz="1100" b="1" baseline="0">
                <a:ln>
                  <a:noFill/>
                </a:ln>
                <a:solidFill>
                  <a:schemeClr val="tx1"/>
                </a:solidFill>
                <a:latin typeface="+mj-ea"/>
                <a:ea typeface="+mj-ea"/>
              </a:rPr>
              <a:t>배열수식 형태의 조건입력</a:t>
            </a:r>
            <a:endParaRPr lang="en-US" altLang="ko-KR" sz="1100" b="1">
              <a:ln>
                <a:noFill/>
              </a:ln>
              <a:solidFill>
                <a:schemeClr val="tx1"/>
              </a:solidFill>
              <a:latin typeface="+mj-ea"/>
              <a:ea typeface="+mj-ea"/>
            </a:endParaRPr>
          </a:p>
        </xdr:txBody>
      </xdr:sp>
      <xdr:sp macro="" textlink="">
        <xdr:nvSpPr>
          <xdr:cNvPr id="8" name="직사각형 7">
            <a:extLst>
              <a:ext uri="{FF2B5EF4-FFF2-40B4-BE49-F238E27FC236}">
                <a16:creationId xmlns:a16="http://schemas.microsoft.com/office/drawing/2014/main" id="{E4CA6212-E45D-4C13-99EA-2D198C6B9AFE}"/>
              </a:ext>
            </a:extLst>
          </xdr:cNvPr>
          <xdr:cNvSpPr/>
        </xdr:nvSpPr>
        <xdr:spPr>
          <a:xfrm>
            <a:off x="14446567" y="5117429"/>
            <a:ext cx="1989407" cy="1141254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l"/>
            <a:r>
              <a:rPr lang="en-US" altLang="ko-KR" sz="1000" b="1">
                <a:ln>
                  <a:noFill/>
                </a:ln>
                <a:solidFill>
                  <a:schemeClr val="tx1"/>
                </a:solidFill>
                <a:latin typeface="+mj-ea"/>
                <a:ea typeface="+mj-ea"/>
              </a:rPr>
              <a:t>- </a:t>
            </a:r>
            <a:r>
              <a:rPr lang="ko-KR" altLang="en-US" sz="1000" b="1">
                <a:ln>
                  <a:noFill/>
                </a:ln>
                <a:solidFill>
                  <a:schemeClr val="tx1"/>
                </a:solidFill>
                <a:latin typeface="+mj-ea"/>
                <a:ea typeface="+mj-ea"/>
              </a:rPr>
              <a:t>결과값이 없을 때</a:t>
            </a:r>
            <a:endParaRPr lang="en-US" altLang="ko-KR" sz="1000" b="1">
              <a:ln>
                <a:noFill/>
              </a:ln>
              <a:solidFill>
                <a:schemeClr val="tx1"/>
              </a:solidFill>
              <a:latin typeface="+mj-ea"/>
              <a:ea typeface="+mj-ea"/>
            </a:endParaRPr>
          </a:p>
          <a:p>
            <a:pPr algn="l"/>
            <a:r>
              <a:rPr lang="en-US" altLang="ko-KR" sz="1000" b="1" baseline="0">
                <a:ln>
                  <a:noFill/>
                </a:ln>
                <a:solidFill>
                  <a:schemeClr val="tx1"/>
                </a:solidFill>
                <a:latin typeface="+mj-ea"/>
                <a:ea typeface="+mj-ea"/>
              </a:rPr>
              <a:t>  </a:t>
            </a:r>
            <a:r>
              <a:rPr lang="ko-KR" altLang="en-US" sz="1000" b="1" baseline="0">
                <a:ln>
                  <a:noFill/>
                </a:ln>
                <a:solidFill>
                  <a:schemeClr val="tx1"/>
                </a:solidFill>
                <a:latin typeface="+mj-ea"/>
                <a:ea typeface="+mj-ea"/>
              </a:rPr>
              <a:t>대신 입력할 문구</a:t>
            </a:r>
            <a:endParaRPr lang="en-US" altLang="ko-KR" sz="1000" b="1" baseline="0">
              <a:ln>
                <a:noFill/>
              </a:ln>
              <a:solidFill>
                <a:schemeClr val="tx1"/>
              </a:solidFill>
              <a:latin typeface="+mj-ea"/>
              <a:ea typeface="+mj-ea"/>
            </a:endParaRPr>
          </a:p>
          <a:p>
            <a:pPr algn="l"/>
            <a:r>
              <a:rPr lang="en-US" altLang="ko-KR" sz="1000" b="1" baseline="0">
                <a:ln>
                  <a:noFill/>
                </a:ln>
                <a:solidFill>
                  <a:schemeClr val="tx1"/>
                </a:solidFill>
                <a:latin typeface="+mj-ea"/>
                <a:ea typeface="+mj-ea"/>
              </a:rPr>
              <a:t>- </a:t>
            </a:r>
            <a:r>
              <a:rPr lang="ko-KR" altLang="en-US" sz="1000" b="1" baseline="0">
                <a:ln>
                  <a:noFill/>
                </a:ln>
                <a:solidFill>
                  <a:schemeClr val="tx1"/>
                </a:solidFill>
                <a:latin typeface="+mj-ea"/>
                <a:ea typeface="+mj-ea"/>
              </a:rPr>
              <a:t>생략가능</a:t>
            </a:r>
            <a:r>
              <a:rPr lang="en-US" altLang="ko-KR" sz="1000" b="1" baseline="0">
                <a:ln>
                  <a:noFill/>
                </a:ln>
                <a:solidFill>
                  <a:schemeClr val="tx1"/>
                </a:solidFill>
                <a:latin typeface="+mj-ea"/>
                <a:ea typeface="+mj-ea"/>
              </a:rPr>
              <a:t> </a:t>
            </a:r>
            <a:endParaRPr lang="en-US" altLang="ko-KR" sz="1000" b="1">
              <a:ln>
                <a:noFill/>
              </a:ln>
              <a:solidFill>
                <a:schemeClr val="tx1"/>
              </a:solidFill>
              <a:latin typeface="+mj-ea"/>
              <a:ea typeface="+mj-ea"/>
            </a:endParaRPr>
          </a:p>
        </xdr:txBody>
      </xdr:sp>
      <xdr:sp macro="" textlink="">
        <xdr:nvSpPr>
          <xdr:cNvPr id="9" name="직사각형 8">
            <a:extLst>
              <a:ext uri="{FF2B5EF4-FFF2-40B4-BE49-F238E27FC236}">
                <a16:creationId xmlns:a16="http://schemas.microsoft.com/office/drawing/2014/main" id="{4DFE8545-02A5-488F-9EC6-07DF5A5D0852}"/>
              </a:ext>
            </a:extLst>
          </xdr:cNvPr>
          <xdr:cNvSpPr/>
        </xdr:nvSpPr>
        <xdr:spPr>
          <a:xfrm>
            <a:off x="10121345" y="4489171"/>
            <a:ext cx="819981" cy="356155"/>
          </a:xfrm>
          <a:prstGeom prst="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1400" b="1">
                <a:ln>
                  <a:noFill/>
                </a:ln>
                <a:solidFill>
                  <a:srgbClr val="FF0000"/>
                </a:solidFill>
              </a:rPr>
              <a:t>인수</a:t>
            </a:r>
            <a:r>
              <a:rPr lang="en-US" altLang="ko-KR" sz="1400" b="1">
                <a:ln>
                  <a:noFill/>
                </a:ln>
                <a:solidFill>
                  <a:srgbClr val="FF0000"/>
                </a:solidFill>
              </a:rPr>
              <a:t>1</a:t>
            </a:r>
          </a:p>
        </xdr:txBody>
      </xdr:sp>
      <xdr:sp macro="" textlink="">
        <xdr:nvSpPr>
          <xdr:cNvPr id="10" name="직사각형 9">
            <a:extLst>
              <a:ext uri="{FF2B5EF4-FFF2-40B4-BE49-F238E27FC236}">
                <a16:creationId xmlns:a16="http://schemas.microsoft.com/office/drawing/2014/main" id="{4259D9D7-2704-47A6-8013-A476F24E7C1C}"/>
              </a:ext>
            </a:extLst>
          </xdr:cNvPr>
          <xdr:cNvSpPr/>
        </xdr:nvSpPr>
        <xdr:spPr>
          <a:xfrm>
            <a:off x="12755214" y="4489171"/>
            <a:ext cx="819981" cy="356155"/>
          </a:xfrm>
          <a:prstGeom prst="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1400" b="1">
                <a:ln>
                  <a:noFill/>
                </a:ln>
                <a:solidFill>
                  <a:srgbClr val="FF0000"/>
                </a:solidFill>
              </a:rPr>
              <a:t>인수</a:t>
            </a:r>
            <a:r>
              <a:rPr lang="en-US" altLang="ko-KR" sz="1400" b="1">
                <a:ln>
                  <a:noFill/>
                </a:ln>
                <a:solidFill>
                  <a:srgbClr val="FF0000"/>
                </a:solidFill>
              </a:rPr>
              <a:t>2</a:t>
            </a:r>
          </a:p>
        </xdr:txBody>
      </xdr:sp>
      <xdr:sp macro="" textlink="">
        <xdr:nvSpPr>
          <xdr:cNvPr id="11" name="직사각형 10">
            <a:extLst>
              <a:ext uri="{FF2B5EF4-FFF2-40B4-BE49-F238E27FC236}">
                <a16:creationId xmlns:a16="http://schemas.microsoft.com/office/drawing/2014/main" id="{1B0F241C-F5AC-4BE4-86E5-056BB872E220}"/>
              </a:ext>
            </a:extLst>
          </xdr:cNvPr>
          <xdr:cNvSpPr/>
        </xdr:nvSpPr>
        <xdr:spPr>
          <a:xfrm>
            <a:off x="15206866" y="4489171"/>
            <a:ext cx="819981" cy="356155"/>
          </a:xfrm>
          <a:prstGeom prst="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1400" b="1">
                <a:ln>
                  <a:noFill/>
                </a:ln>
                <a:solidFill>
                  <a:srgbClr val="FF0000"/>
                </a:solidFill>
              </a:rPr>
              <a:t>인수</a:t>
            </a:r>
            <a:r>
              <a:rPr lang="en-US" altLang="ko-KR" sz="1400" b="1">
                <a:ln>
                  <a:noFill/>
                </a:ln>
                <a:solidFill>
                  <a:srgbClr val="FF0000"/>
                </a:solidFill>
              </a:rPr>
              <a:t>3</a:t>
            </a:r>
          </a:p>
        </xdr:txBody>
      </xdr:sp>
    </xdr:grpSp>
    <xdr:clientData/>
  </xdr:twoCellAnchor>
  <xdr:twoCellAnchor editAs="absolute">
    <xdr:from>
      <xdr:col>7</xdr:col>
      <xdr:colOff>119683</xdr:colOff>
      <xdr:row>5</xdr:row>
      <xdr:rowOff>55492</xdr:rowOff>
    </xdr:from>
    <xdr:to>
      <xdr:col>19</xdr:col>
      <xdr:colOff>290976</xdr:colOff>
      <xdr:row>22</xdr:row>
      <xdr:rowOff>152400</xdr:rowOff>
    </xdr:to>
    <xdr:sp macro="" textlink="">
      <xdr:nvSpPr>
        <xdr:cNvPr id="12" name="사각형: 둥근 모서리 11">
          <a:extLst>
            <a:ext uri="{FF2B5EF4-FFF2-40B4-BE49-F238E27FC236}">
              <a16:creationId xmlns:a16="http://schemas.microsoft.com/office/drawing/2014/main" id="{7A7358D0-12F4-47F1-8439-A2199BC9D899}"/>
            </a:ext>
          </a:extLst>
        </xdr:cNvPr>
        <xdr:cNvSpPr/>
      </xdr:nvSpPr>
      <xdr:spPr>
        <a:xfrm>
          <a:off x="4205908" y="1046092"/>
          <a:ext cx="6600668" cy="3659258"/>
        </a:xfrm>
        <a:prstGeom prst="roundRect">
          <a:avLst>
            <a:gd name="adj" fmla="val 6416"/>
          </a:avLst>
        </a:prstGeom>
        <a:solidFill>
          <a:schemeClr val="accent4">
            <a:lumMod val="20000"/>
            <a:lumOff val="80000"/>
          </a:schemeClr>
        </a:solidFill>
        <a:ln w="57150">
          <a:solidFill>
            <a:srgbClr val="FFC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altLang="ko-KR" sz="1600" b="1">
              <a:solidFill>
                <a:schemeClr val="tx1"/>
              </a:solidFill>
              <a:latin typeface="나눔고딕" panose="020D0604000000000000" pitchFamily="50" charset="-127"/>
              <a:ea typeface="나눔고딕" panose="020D0604000000000000" pitchFamily="50" charset="-127"/>
            </a:rPr>
            <a:t>※ </a:t>
          </a:r>
          <a:r>
            <a:rPr lang="ko-KR" altLang="en-US" sz="1600" b="1">
              <a:solidFill>
                <a:schemeClr val="tx1"/>
              </a:solidFill>
              <a:latin typeface="나눔고딕" panose="020D0604000000000000" pitchFamily="50" charset="-127"/>
              <a:ea typeface="나눔고딕" panose="020D0604000000000000" pitchFamily="50" charset="-127"/>
            </a:rPr>
            <a:t>특징</a:t>
          </a:r>
          <a:endParaRPr lang="en-US" altLang="ko-KR" sz="1600" b="1">
            <a:solidFill>
              <a:schemeClr val="tx1"/>
            </a:solidFill>
            <a:latin typeface="나눔고딕" panose="020D0604000000000000" pitchFamily="50" charset="-127"/>
            <a:ea typeface="나눔고딕" panose="020D0604000000000000" pitchFamily="50" charset="-127"/>
          </a:endParaRPr>
        </a:p>
        <a:p>
          <a:pPr algn="l"/>
          <a:endParaRPr lang="en-US" altLang="ko-KR" sz="1200" b="1">
            <a:solidFill>
              <a:schemeClr val="tx1"/>
            </a:solidFill>
            <a:latin typeface="나눔고딕" panose="020D0604000000000000" pitchFamily="50" charset="-127"/>
            <a:ea typeface="나눔고딕" panose="020D0604000000000000" pitchFamily="50" charset="-127"/>
          </a:endParaRPr>
        </a:p>
        <a:p>
          <a:pPr algn="l"/>
          <a:r>
            <a:rPr lang="en-US" altLang="ko-KR" sz="1200" b="1">
              <a:solidFill>
                <a:schemeClr val="tx1"/>
              </a:solidFill>
              <a:latin typeface="나눔고딕" panose="020D0604000000000000" pitchFamily="50" charset="-127"/>
              <a:ea typeface="나눔고딕" panose="020D0604000000000000" pitchFamily="50" charset="-127"/>
            </a:rPr>
            <a:t>- </a:t>
          </a:r>
          <a:r>
            <a:rPr lang="ko-KR" altLang="en-US" sz="1200" b="1">
              <a:solidFill>
                <a:schemeClr val="tx1"/>
              </a:solidFill>
              <a:latin typeface="나눔고딕" panose="020D0604000000000000" pitchFamily="50" charset="-127"/>
              <a:ea typeface="나눔고딕" panose="020D0604000000000000" pitchFamily="50" charset="-127"/>
            </a:rPr>
            <a:t>함수이므로 조건이 변경되면 필터링 결과값도 즉시 자동업데이트 된다</a:t>
          </a:r>
          <a:r>
            <a:rPr lang="en-US" altLang="ko-KR" sz="1200" b="1">
              <a:solidFill>
                <a:schemeClr val="tx1"/>
              </a:solidFill>
              <a:latin typeface="나눔고딕" panose="020D0604000000000000" pitchFamily="50" charset="-127"/>
              <a:ea typeface="나눔고딕" panose="020D0604000000000000" pitchFamily="50" charset="-127"/>
            </a:rPr>
            <a:t>.</a:t>
          </a:r>
          <a:r>
            <a:rPr lang="en-US" altLang="ko-KR" sz="1200" b="1" baseline="0">
              <a:solidFill>
                <a:schemeClr val="tx1"/>
              </a:solidFill>
              <a:latin typeface="나눔고딕" panose="020D0604000000000000" pitchFamily="50" charset="-127"/>
              <a:ea typeface="나눔고딕" panose="020D0604000000000000" pitchFamily="50" charset="-127"/>
            </a:rPr>
            <a:t> (</a:t>
          </a:r>
          <a:r>
            <a:rPr lang="ko-KR" altLang="en-US" sz="1200" b="1" baseline="0">
              <a:solidFill>
                <a:schemeClr val="tx1"/>
              </a:solidFill>
              <a:latin typeface="나눔고딕" panose="020D0604000000000000" pitchFamily="50" charset="-127"/>
              <a:ea typeface="나눔고딕" panose="020D0604000000000000" pitchFamily="50" charset="-127"/>
            </a:rPr>
            <a:t>최고 장점</a:t>
          </a:r>
          <a:r>
            <a:rPr lang="en-US" altLang="ko-KR" sz="1200" b="1" baseline="0">
              <a:solidFill>
                <a:schemeClr val="tx1"/>
              </a:solidFill>
              <a:latin typeface="나눔고딕" panose="020D0604000000000000" pitchFamily="50" charset="-127"/>
              <a:ea typeface="나눔고딕" panose="020D0604000000000000" pitchFamily="50" charset="-127"/>
            </a:rPr>
            <a:t>)</a:t>
          </a:r>
        </a:p>
        <a:p>
          <a:pPr algn="l"/>
          <a:endParaRPr lang="en-US" altLang="ko-KR" sz="1200" b="1">
            <a:solidFill>
              <a:schemeClr val="tx1"/>
            </a:solidFill>
            <a:latin typeface="나눔고딕" panose="020D0604000000000000" pitchFamily="50" charset="-127"/>
            <a:ea typeface="나눔고딕" panose="020D0604000000000000" pitchFamily="50" charset="-127"/>
          </a:endParaRPr>
        </a:p>
        <a:p>
          <a:pPr algn="l"/>
          <a:r>
            <a:rPr lang="en-US" altLang="ko-KR" sz="1200" b="1">
              <a:solidFill>
                <a:schemeClr val="tx1"/>
              </a:solidFill>
              <a:latin typeface="나눔고딕" panose="020D0604000000000000" pitchFamily="50" charset="-127"/>
              <a:ea typeface="나눔고딕" panose="020D0604000000000000" pitchFamily="50" charset="-127"/>
            </a:rPr>
            <a:t>- </a:t>
          </a:r>
          <a:r>
            <a:rPr lang="ko-KR" altLang="en-US" sz="1200" b="1">
              <a:solidFill>
                <a:schemeClr val="tx1"/>
              </a:solidFill>
              <a:latin typeface="나눔고딕" panose="020D0604000000000000" pitchFamily="50" charset="-127"/>
              <a:ea typeface="나눔고딕" panose="020D0604000000000000" pitchFamily="50" charset="-127"/>
            </a:rPr>
            <a:t>자동필터를</a:t>
          </a:r>
          <a:r>
            <a:rPr lang="ko-KR" altLang="en-US" sz="1200" b="1" baseline="0">
              <a:solidFill>
                <a:schemeClr val="tx1"/>
              </a:solidFill>
              <a:latin typeface="나눔고딕" panose="020D0604000000000000" pitchFamily="50" charset="-127"/>
              <a:ea typeface="나눔고딕" panose="020D0604000000000000" pitchFamily="50" charset="-127"/>
            </a:rPr>
            <a:t> 대신해 활용가능하다</a:t>
          </a:r>
          <a:r>
            <a:rPr lang="en-US" altLang="ko-KR" sz="1200" b="1" baseline="0">
              <a:solidFill>
                <a:schemeClr val="tx1"/>
              </a:solidFill>
              <a:latin typeface="나눔고딕" panose="020D0604000000000000" pitchFamily="50" charset="-127"/>
              <a:ea typeface="나눔고딕" panose="020D0604000000000000" pitchFamily="50" charset="-127"/>
            </a:rPr>
            <a:t>.</a:t>
          </a:r>
        </a:p>
        <a:p>
          <a:pPr algn="l"/>
          <a:endParaRPr lang="en-US" altLang="ko-KR" sz="1200" b="1" baseline="0">
            <a:solidFill>
              <a:schemeClr val="tx1"/>
            </a:solidFill>
            <a:latin typeface="나눔고딕" panose="020D0604000000000000" pitchFamily="50" charset="-127"/>
            <a:ea typeface="나눔고딕" panose="020D0604000000000000" pitchFamily="50" charset="-127"/>
          </a:endParaRPr>
        </a:p>
        <a:p>
          <a:pPr algn="l"/>
          <a:r>
            <a:rPr lang="en-US" altLang="ko-KR" sz="1200" b="1" baseline="0">
              <a:solidFill>
                <a:schemeClr val="tx1"/>
              </a:solidFill>
              <a:latin typeface="나눔고딕" panose="020D0604000000000000" pitchFamily="50" charset="-127"/>
              <a:ea typeface="나눔고딕" panose="020D0604000000000000" pitchFamily="50" charset="-127"/>
            </a:rPr>
            <a:t>- </a:t>
          </a:r>
          <a:r>
            <a:rPr lang="ko-KR" altLang="en-US" sz="1200" b="1" baseline="0">
              <a:solidFill>
                <a:schemeClr val="tx1"/>
              </a:solidFill>
              <a:latin typeface="나눔고딕" panose="020D0604000000000000" pitchFamily="50" charset="-127"/>
              <a:ea typeface="나눔고딕" panose="020D0604000000000000" pitchFamily="50" charset="-127"/>
            </a:rPr>
            <a:t>고급필터 </a:t>
          </a:r>
          <a:r>
            <a:rPr lang="en-US" altLang="ko-KR" sz="1200" b="1" baseline="0">
              <a:solidFill>
                <a:schemeClr val="tx1"/>
              </a:solidFill>
              <a:latin typeface="나눔고딕" panose="020D0604000000000000" pitchFamily="50" charset="-127"/>
              <a:ea typeface="나눔고딕" panose="020D0604000000000000" pitchFamily="50" charset="-127"/>
            </a:rPr>
            <a:t>+ </a:t>
          </a:r>
          <a:r>
            <a:rPr lang="ko-KR" altLang="en-US" sz="1200" b="1" baseline="0">
              <a:solidFill>
                <a:schemeClr val="tx1"/>
              </a:solidFill>
              <a:latin typeface="나눔고딕" panose="020D0604000000000000" pitchFamily="50" charset="-127"/>
              <a:ea typeface="나눔고딕" panose="020D0604000000000000" pitchFamily="50" charset="-127"/>
            </a:rPr>
            <a:t>매크로의 강력한 기능도 대체가능하다</a:t>
          </a:r>
          <a:r>
            <a:rPr lang="en-US" altLang="ko-KR" sz="1200" b="1" baseline="0">
              <a:solidFill>
                <a:schemeClr val="tx1"/>
              </a:solidFill>
              <a:latin typeface="나눔고딕" panose="020D0604000000000000" pitchFamily="50" charset="-127"/>
              <a:ea typeface="나눔고딕" panose="020D0604000000000000" pitchFamily="50" charset="-127"/>
            </a:rPr>
            <a:t>.(100% </a:t>
          </a:r>
          <a:r>
            <a:rPr lang="ko-KR" altLang="en-US" sz="1200" b="1" baseline="0">
              <a:solidFill>
                <a:schemeClr val="tx1"/>
              </a:solidFill>
              <a:latin typeface="나눔고딕" panose="020D0604000000000000" pitchFamily="50" charset="-127"/>
              <a:ea typeface="나눔고딕" panose="020D0604000000000000" pitchFamily="50" charset="-127"/>
            </a:rPr>
            <a:t>대체는 아님</a:t>
          </a:r>
          <a:r>
            <a:rPr lang="en-US" altLang="ko-KR" sz="1200" b="1" baseline="0">
              <a:solidFill>
                <a:schemeClr val="tx1"/>
              </a:solidFill>
              <a:latin typeface="나눔고딕" panose="020D0604000000000000" pitchFamily="50" charset="-127"/>
              <a:ea typeface="나눔고딕" panose="020D0604000000000000" pitchFamily="50" charset="-127"/>
            </a:rPr>
            <a:t>)</a:t>
          </a:r>
        </a:p>
        <a:p>
          <a:pPr algn="l"/>
          <a:r>
            <a:rPr lang="en-US" altLang="ko-KR" sz="1200" b="1" baseline="0">
              <a:solidFill>
                <a:schemeClr val="tx1"/>
              </a:solidFill>
              <a:latin typeface="나눔고딕" panose="020D0604000000000000" pitchFamily="50" charset="-127"/>
              <a:ea typeface="나눔고딕" panose="020D0604000000000000" pitchFamily="50" charset="-127"/>
            </a:rPr>
            <a:t>   ( OFFICE 365</a:t>
          </a:r>
          <a:r>
            <a:rPr lang="ko-KR" altLang="en-US" sz="1200" b="1" baseline="0">
              <a:solidFill>
                <a:schemeClr val="tx1"/>
              </a:solidFill>
              <a:latin typeface="나눔고딕" panose="020D0604000000000000" pitchFamily="50" charset="-127"/>
              <a:ea typeface="나눔고딕" panose="020D0604000000000000" pitchFamily="50" charset="-127"/>
            </a:rPr>
            <a:t>의 구독자가 아니라면 고급필터 </a:t>
          </a:r>
          <a:r>
            <a:rPr lang="en-US" altLang="ko-KR" sz="1200" b="1" baseline="0">
              <a:solidFill>
                <a:schemeClr val="tx1"/>
              </a:solidFill>
              <a:latin typeface="나눔고딕" panose="020D0604000000000000" pitchFamily="50" charset="-127"/>
              <a:ea typeface="나눔고딕" panose="020D0604000000000000" pitchFamily="50" charset="-127"/>
            </a:rPr>
            <a:t>+ </a:t>
          </a:r>
          <a:r>
            <a:rPr lang="ko-KR" altLang="en-US" sz="1200" b="1" baseline="0">
              <a:solidFill>
                <a:schemeClr val="tx1"/>
              </a:solidFill>
              <a:latin typeface="나눔고딕" panose="020D0604000000000000" pitchFamily="50" charset="-127"/>
              <a:ea typeface="나눔고딕" panose="020D0604000000000000" pitchFamily="50" charset="-127"/>
            </a:rPr>
            <a:t>매크로 기능을 활용하면 된다</a:t>
          </a:r>
          <a:r>
            <a:rPr lang="en-US" altLang="ko-KR" sz="1200" b="1" baseline="0">
              <a:solidFill>
                <a:schemeClr val="tx1"/>
              </a:solidFill>
              <a:latin typeface="나눔고딕" panose="020D0604000000000000" pitchFamily="50" charset="-127"/>
              <a:ea typeface="나눔고딕" panose="020D0604000000000000" pitchFamily="50" charset="-127"/>
            </a:rPr>
            <a:t>. )</a:t>
          </a:r>
        </a:p>
        <a:p>
          <a:pPr algn="l"/>
          <a:endParaRPr lang="en-US" altLang="ko-KR" sz="1200" b="1">
            <a:solidFill>
              <a:schemeClr val="tx1"/>
            </a:solidFill>
            <a:latin typeface="나눔고딕" panose="020D0604000000000000" pitchFamily="50" charset="-127"/>
            <a:ea typeface="나눔고딕" panose="020D0604000000000000" pitchFamily="50" charset="-127"/>
          </a:endParaRPr>
        </a:p>
        <a:p>
          <a:pPr algn="l"/>
          <a:r>
            <a:rPr lang="en-US" altLang="ko-KR" sz="1200" b="1">
              <a:solidFill>
                <a:schemeClr val="tx1"/>
              </a:solidFill>
              <a:latin typeface="나눔고딕" panose="020D0604000000000000" pitchFamily="50" charset="-127"/>
              <a:ea typeface="나눔고딕" panose="020D0604000000000000" pitchFamily="50" charset="-127"/>
            </a:rPr>
            <a:t>-</a:t>
          </a:r>
          <a:r>
            <a:rPr lang="en-US" altLang="ko-KR" sz="1200" b="1" baseline="0">
              <a:solidFill>
                <a:schemeClr val="tx1"/>
              </a:solidFill>
              <a:latin typeface="나눔고딕" panose="020D0604000000000000" pitchFamily="50" charset="-127"/>
              <a:ea typeface="나눔고딕" panose="020D0604000000000000" pitchFamily="50" charset="-127"/>
            </a:rPr>
            <a:t> </a:t>
          </a:r>
          <a:r>
            <a:rPr lang="ko-KR" altLang="en-US" sz="1200" b="1" baseline="0">
              <a:solidFill>
                <a:schemeClr val="tx1"/>
              </a:solidFill>
              <a:latin typeface="나눔고딕" panose="020D0604000000000000" pitchFamily="50" charset="-127"/>
              <a:ea typeface="나눔고딕" panose="020D0604000000000000" pitchFamily="50" charset="-127"/>
            </a:rPr>
            <a:t>필드명을 인식하지 않는다</a:t>
          </a:r>
          <a:r>
            <a:rPr lang="en-US" altLang="ko-KR" sz="1200" b="1" baseline="0">
              <a:solidFill>
                <a:schemeClr val="tx1"/>
              </a:solidFill>
              <a:latin typeface="나눔고딕" panose="020D0604000000000000" pitchFamily="50" charset="-127"/>
              <a:ea typeface="나눔고딕" panose="020D0604000000000000" pitchFamily="50" charset="-127"/>
            </a:rPr>
            <a:t>. </a:t>
          </a:r>
          <a:r>
            <a:rPr lang="ko-KR" altLang="en-US" sz="1200" b="1" baseline="0">
              <a:solidFill>
                <a:schemeClr val="tx1"/>
              </a:solidFill>
              <a:latin typeface="나눔고딕" panose="020D0604000000000000" pitchFamily="50" charset="-127"/>
              <a:ea typeface="나눔고딕" panose="020D0604000000000000" pitchFamily="50" charset="-127"/>
            </a:rPr>
            <a:t>필드명도 일반데이터로 인식한다</a:t>
          </a:r>
          <a:r>
            <a:rPr lang="en-US" altLang="ko-KR" sz="1200" b="1" baseline="0">
              <a:solidFill>
                <a:schemeClr val="tx1"/>
              </a:solidFill>
              <a:latin typeface="나눔고딕" panose="020D0604000000000000" pitchFamily="50" charset="-127"/>
              <a:ea typeface="나눔고딕" panose="020D0604000000000000" pitchFamily="50" charset="-127"/>
            </a:rPr>
            <a:t>.</a:t>
          </a:r>
          <a:br>
            <a:rPr lang="en-US" altLang="ko-KR" sz="1200" b="1" baseline="0">
              <a:solidFill>
                <a:schemeClr val="tx1"/>
              </a:solidFill>
              <a:latin typeface="나눔고딕" panose="020D0604000000000000" pitchFamily="50" charset="-127"/>
              <a:ea typeface="나눔고딕" panose="020D0604000000000000" pitchFamily="50" charset="-127"/>
            </a:rPr>
          </a:br>
          <a:r>
            <a:rPr lang="en-US" altLang="ko-KR" sz="1200" b="1" baseline="0">
              <a:solidFill>
                <a:schemeClr val="tx1"/>
              </a:solidFill>
              <a:latin typeface="나눔고딕" panose="020D0604000000000000" pitchFamily="50" charset="-127"/>
              <a:ea typeface="나눔고딕" panose="020D0604000000000000" pitchFamily="50" charset="-127"/>
            </a:rPr>
            <a:t>   </a:t>
          </a:r>
          <a:r>
            <a:rPr lang="ko-KR" altLang="en-US" sz="1200" b="1" baseline="0">
              <a:solidFill>
                <a:schemeClr val="tx1"/>
              </a:solidFill>
              <a:latin typeface="나눔고딕" panose="020D0604000000000000" pitchFamily="50" charset="-127"/>
              <a:ea typeface="나눔고딕" panose="020D0604000000000000" pitchFamily="50" charset="-127"/>
            </a:rPr>
            <a:t>참고</a:t>
          </a:r>
          <a:r>
            <a:rPr lang="en-US" altLang="ko-KR" sz="1200" b="1" baseline="0">
              <a:solidFill>
                <a:schemeClr val="tx1"/>
              </a:solidFill>
              <a:latin typeface="나눔고딕" panose="020D0604000000000000" pitchFamily="50" charset="-127"/>
              <a:ea typeface="나눔고딕" panose="020D0604000000000000" pitchFamily="50" charset="-127"/>
            </a:rPr>
            <a:t>) </a:t>
          </a:r>
          <a:r>
            <a:rPr lang="ko-KR" altLang="en-US" sz="1200" b="1" baseline="0">
              <a:solidFill>
                <a:schemeClr val="tx1"/>
              </a:solidFill>
              <a:latin typeface="나눔고딕" panose="020D0604000000000000" pitchFamily="50" charset="-127"/>
              <a:ea typeface="나눔고딕" panose="020D0604000000000000" pitchFamily="50" charset="-127"/>
            </a:rPr>
            <a:t>필드명을 인식하는 편집툴 </a:t>
          </a:r>
          <a:r>
            <a:rPr lang="en-US" altLang="ko-KR" sz="1200" b="1" baseline="0">
              <a:solidFill>
                <a:schemeClr val="tx1"/>
              </a:solidFill>
              <a:latin typeface="나눔고딕" panose="020D0604000000000000" pitchFamily="50" charset="-127"/>
              <a:ea typeface="나눔고딕" panose="020D0604000000000000" pitchFamily="50" charset="-127"/>
            </a:rPr>
            <a:t>: </a:t>
          </a:r>
          <a:r>
            <a:rPr lang="ko-KR" altLang="en-US" sz="1200" b="1" baseline="0">
              <a:solidFill>
                <a:schemeClr val="tx1"/>
              </a:solidFill>
              <a:latin typeface="나눔고딕" panose="020D0604000000000000" pitchFamily="50" charset="-127"/>
              <a:ea typeface="나눔고딕" panose="020D0604000000000000" pitchFamily="50" charset="-127"/>
            </a:rPr>
            <a:t>고급필터</a:t>
          </a:r>
          <a:r>
            <a:rPr lang="en-US" altLang="ko-KR" sz="1200" b="1" baseline="0">
              <a:solidFill>
                <a:schemeClr val="tx1"/>
              </a:solidFill>
              <a:latin typeface="나눔고딕" panose="020D0604000000000000" pitchFamily="50" charset="-127"/>
              <a:ea typeface="나눔고딕" panose="020D0604000000000000" pitchFamily="50" charset="-127"/>
            </a:rPr>
            <a:t>, </a:t>
          </a:r>
          <a:r>
            <a:rPr lang="ko-KR" altLang="en-US" sz="1200" b="1" baseline="0">
              <a:solidFill>
                <a:schemeClr val="tx1"/>
              </a:solidFill>
              <a:latin typeface="나눔고딕" panose="020D0604000000000000" pitchFamily="50" charset="-127"/>
              <a:ea typeface="나눔고딕" panose="020D0604000000000000" pitchFamily="50" charset="-127"/>
            </a:rPr>
            <a:t>피벗테이블</a:t>
          </a:r>
          <a:endParaRPr lang="en-US" altLang="ko-KR" sz="1200" b="1" baseline="0">
            <a:solidFill>
              <a:schemeClr val="tx1"/>
            </a:solidFill>
            <a:latin typeface="나눔고딕" panose="020D0604000000000000" pitchFamily="50" charset="-127"/>
            <a:ea typeface="나눔고딕" panose="020D0604000000000000" pitchFamily="50" charset="-127"/>
          </a:endParaRPr>
        </a:p>
        <a:p>
          <a:pPr algn="l"/>
          <a:endParaRPr lang="en-US" altLang="ko-KR" sz="1200" b="1" baseline="0">
            <a:solidFill>
              <a:schemeClr val="tx1"/>
            </a:solidFill>
            <a:latin typeface="나눔고딕" panose="020D0604000000000000" pitchFamily="50" charset="-127"/>
            <a:ea typeface="나눔고딕" panose="020D0604000000000000" pitchFamily="50" charset="-127"/>
          </a:endParaRPr>
        </a:p>
        <a:p>
          <a:pPr algn="l"/>
          <a:r>
            <a:rPr lang="en-US" altLang="ko-KR" sz="1200" b="1" baseline="0">
              <a:solidFill>
                <a:schemeClr val="tx1"/>
              </a:solidFill>
              <a:latin typeface="나눔고딕" panose="020D0604000000000000" pitchFamily="50" charset="-127"/>
              <a:ea typeface="나눔고딕" panose="020D0604000000000000" pitchFamily="50" charset="-127"/>
            </a:rPr>
            <a:t>- </a:t>
          </a:r>
          <a:r>
            <a:rPr lang="ko-KR" altLang="en-US" sz="1200" b="1" baseline="0">
              <a:solidFill>
                <a:schemeClr val="tx1"/>
              </a:solidFill>
              <a:latin typeface="나눔고딕" panose="020D0604000000000000" pitchFamily="50" charset="-127"/>
              <a:ea typeface="나눔고딕" panose="020D0604000000000000" pitchFamily="50" charset="-127"/>
            </a:rPr>
            <a:t>조건입력을 여러 형태로 활용가능하며 활용가능범위가 넓어지면 조건입력의 난이도도 어려워진다</a:t>
          </a:r>
          <a:r>
            <a:rPr lang="en-US" altLang="ko-KR" sz="1200" b="1" baseline="0">
              <a:solidFill>
                <a:schemeClr val="tx1"/>
              </a:solidFill>
              <a:latin typeface="나눔고딕" panose="020D0604000000000000" pitchFamily="50" charset="-127"/>
              <a:ea typeface="나눔고딕" panose="020D0604000000000000" pitchFamily="50" charset="-127"/>
            </a:rPr>
            <a:t>.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4</xdr:col>
      <xdr:colOff>60430</xdr:colOff>
      <xdr:row>23</xdr:row>
      <xdr:rowOff>156126</xdr:rowOff>
    </xdr:from>
    <xdr:to>
      <xdr:col>20</xdr:col>
      <xdr:colOff>333757</xdr:colOff>
      <xdr:row>38</xdr:row>
      <xdr:rowOff>89865</xdr:rowOff>
    </xdr:to>
    <xdr:grpSp>
      <xdr:nvGrpSpPr>
        <xdr:cNvPr id="2" name="그룹 1">
          <a:extLst>
            <a:ext uri="{FF2B5EF4-FFF2-40B4-BE49-F238E27FC236}">
              <a16:creationId xmlns:a16="http://schemas.microsoft.com/office/drawing/2014/main" id="{0DECCC41-3578-41FB-B294-AE57C8D1D759}"/>
            </a:ext>
          </a:extLst>
        </xdr:cNvPr>
        <xdr:cNvGrpSpPr/>
      </xdr:nvGrpSpPr>
      <xdr:grpSpPr>
        <a:xfrm>
          <a:off x="2146405" y="4918626"/>
          <a:ext cx="9769752" cy="3076989"/>
          <a:chOff x="7098195" y="3429000"/>
          <a:chExt cx="9798327" cy="3039717"/>
        </a:xfrm>
      </xdr:grpSpPr>
      <xdr:sp macro="" textlink="">
        <xdr:nvSpPr>
          <xdr:cNvPr id="3" name="사각형: 둥근 모서리 2">
            <a:extLst>
              <a:ext uri="{FF2B5EF4-FFF2-40B4-BE49-F238E27FC236}">
                <a16:creationId xmlns:a16="http://schemas.microsoft.com/office/drawing/2014/main" id="{C696DD03-46B5-4AC2-8ACA-86CBBD40A3BC}"/>
              </a:ext>
            </a:extLst>
          </xdr:cNvPr>
          <xdr:cNvSpPr/>
        </xdr:nvSpPr>
        <xdr:spPr>
          <a:xfrm>
            <a:off x="7098195" y="3429000"/>
            <a:ext cx="9798327" cy="3039717"/>
          </a:xfrm>
          <a:prstGeom prst="roundRect">
            <a:avLst>
              <a:gd name="adj" fmla="val 6416"/>
            </a:avLst>
          </a:prstGeom>
          <a:solidFill>
            <a:schemeClr val="accent4">
              <a:lumMod val="20000"/>
              <a:lumOff val="80000"/>
            </a:schemeClr>
          </a:solidFill>
          <a:ln w="57150">
            <a:solidFill>
              <a:srgbClr val="FFC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sp macro="" textlink="">
        <xdr:nvSpPr>
          <xdr:cNvPr id="4" name="직사각형 3">
            <a:extLst>
              <a:ext uri="{FF2B5EF4-FFF2-40B4-BE49-F238E27FC236}">
                <a16:creationId xmlns:a16="http://schemas.microsoft.com/office/drawing/2014/main" id="{C62474B4-2281-490D-880F-5EE087A727A7}"/>
              </a:ext>
            </a:extLst>
          </xdr:cNvPr>
          <xdr:cNvSpPr/>
        </xdr:nvSpPr>
        <xdr:spPr>
          <a:xfrm>
            <a:off x="7313544" y="3636065"/>
            <a:ext cx="9442174" cy="1267239"/>
          </a:xfrm>
          <a:prstGeom prst="rect">
            <a:avLst/>
          </a:prstGeom>
          <a:solidFill>
            <a:schemeClr val="bg1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altLang="ko-KR" sz="3600" b="1">
                <a:solidFill>
                  <a:schemeClr val="tx1"/>
                </a:solidFill>
                <a:latin typeface="나눔고딕" panose="020D0604000000000000" pitchFamily="50" charset="-127"/>
                <a:ea typeface="나눔고딕" panose="020D0604000000000000" pitchFamily="50" charset="-127"/>
              </a:rPr>
              <a:t>= FILTER (     B : J     ,  C : C = M2  ,      ""      ) </a:t>
            </a:r>
            <a:endParaRPr lang="ko-KR" altLang="en-US" sz="3600" b="1">
              <a:solidFill>
                <a:schemeClr val="tx1"/>
              </a:solidFill>
              <a:latin typeface="나눔고딕" panose="020D0604000000000000" pitchFamily="50" charset="-127"/>
              <a:ea typeface="나눔고딕" panose="020D0604000000000000" pitchFamily="50" charset="-127"/>
            </a:endParaRPr>
          </a:p>
        </xdr:txBody>
      </xdr:sp>
      <xdr:sp macro="" textlink="">
        <xdr:nvSpPr>
          <xdr:cNvPr id="5" name="직사각형 4">
            <a:extLst>
              <a:ext uri="{FF2B5EF4-FFF2-40B4-BE49-F238E27FC236}">
                <a16:creationId xmlns:a16="http://schemas.microsoft.com/office/drawing/2014/main" id="{2B6E7DF9-33F0-4D80-A9F1-AEF2502CF3A2}"/>
              </a:ext>
            </a:extLst>
          </xdr:cNvPr>
          <xdr:cNvSpPr/>
        </xdr:nvSpPr>
        <xdr:spPr>
          <a:xfrm>
            <a:off x="7313544" y="4994416"/>
            <a:ext cx="9442174" cy="1267239"/>
          </a:xfrm>
          <a:prstGeom prst="rect">
            <a:avLst/>
          </a:prstGeom>
          <a:solidFill>
            <a:schemeClr val="bg1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altLang="ko-KR" sz="3600" b="1">
                <a:solidFill>
                  <a:schemeClr val="tx1"/>
                </a:solidFill>
                <a:latin typeface="나눔고딕" panose="020D0604000000000000" pitchFamily="50" charset="-127"/>
                <a:ea typeface="나눔고딕" panose="020D0604000000000000" pitchFamily="50" charset="-127"/>
              </a:rPr>
              <a:t>= FILTER (        </a:t>
            </a:r>
            <a:r>
              <a:rPr lang="ko-KR" altLang="en-US" sz="3600" b="1" baseline="0">
                <a:solidFill>
                  <a:schemeClr val="tx1"/>
                </a:solidFill>
                <a:latin typeface="나눔고딕" panose="020D0604000000000000" pitchFamily="50" charset="-127"/>
                <a:ea typeface="나눔고딕" panose="020D0604000000000000" pitchFamily="50" charset="-127"/>
              </a:rPr>
              <a:t>         </a:t>
            </a:r>
            <a:r>
              <a:rPr lang="en-US" altLang="ko-KR" sz="3600" b="1">
                <a:solidFill>
                  <a:schemeClr val="tx1"/>
                </a:solidFill>
                <a:latin typeface="나눔고딕" panose="020D0604000000000000" pitchFamily="50" charset="-127"/>
                <a:ea typeface="나눔고딕" panose="020D0604000000000000" pitchFamily="50" charset="-127"/>
              </a:rPr>
              <a:t>,    </a:t>
            </a:r>
            <a:r>
              <a:rPr lang="en-US" altLang="ko-KR" sz="3600" b="1" baseline="0">
                <a:solidFill>
                  <a:schemeClr val="tx1"/>
                </a:solidFill>
                <a:latin typeface="나눔고딕" panose="020D0604000000000000" pitchFamily="50" charset="-127"/>
                <a:ea typeface="나눔고딕" panose="020D0604000000000000" pitchFamily="50" charset="-127"/>
              </a:rPr>
              <a:t>                  </a:t>
            </a:r>
            <a:r>
              <a:rPr lang="en-US" altLang="ko-KR" sz="3600" b="1">
                <a:solidFill>
                  <a:schemeClr val="tx1"/>
                </a:solidFill>
                <a:latin typeface="나눔고딕" panose="020D0604000000000000" pitchFamily="50" charset="-127"/>
                <a:ea typeface="나눔고딕" panose="020D0604000000000000" pitchFamily="50" charset="-127"/>
              </a:rPr>
              <a:t>, </a:t>
            </a:r>
            <a:r>
              <a:rPr lang="en-US" altLang="ko-KR" sz="3600" b="1" baseline="0">
                <a:solidFill>
                  <a:schemeClr val="tx1"/>
                </a:solidFill>
                <a:latin typeface="나눔고딕" panose="020D0604000000000000" pitchFamily="50" charset="-127"/>
                <a:ea typeface="나눔고딕" panose="020D0604000000000000" pitchFamily="50" charset="-127"/>
              </a:rPr>
              <a:t>             </a:t>
            </a:r>
            <a:r>
              <a:rPr lang="en-US" altLang="ko-KR" sz="3600" b="1">
                <a:solidFill>
                  <a:schemeClr val="tx1"/>
                </a:solidFill>
                <a:latin typeface="나눔고딕" panose="020D0604000000000000" pitchFamily="50" charset="-127"/>
                <a:ea typeface="나눔고딕" panose="020D0604000000000000" pitchFamily="50" charset="-127"/>
              </a:rPr>
              <a:t>) </a:t>
            </a:r>
            <a:endParaRPr lang="ko-KR" altLang="en-US" sz="3600" b="1">
              <a:solidFill>
                <a:schemeClr val="tx1"/>
              </a:solidFill>
              <a:latin typeface="나눔고딕" panose="020D0604000000000000" pitchFamily="50" charset="-127"/>
              <a:ea typeface="나눔고딕" panose="020D0604000000000000" pitchFamily="50" charset="-127"/>
            </a:endParaRPr>
          </a:p>
        </xdr:txBody>
      </xdr:sp>
      <xdr:sp macro="" textlink="">
        <xdr:nvSpPr>
          <xdr:cNvPr id="6" name="직사각형 5">
            <a:extLst>
              <a:ext uri="{FF2B5EF4-FFF2-40B4-BE49-F238E27FC236}">
                <a16:creationId xmlns:a16="http://schemas.microsoft.com/office/drawing/2014/main" id="{1DAEDC9C-A440-44EC-8699-7CDBA3173C2F}"/>
              </a:ext>
            </a:extLst>
          </xdr:cNvPr>
          <xdr:cNvSpPr/>
        </xdr:nvSpPr>
        <xdr:spPr>
          <a:xfrm>
            <a:off x="9607824" y="5242888"/>
            <a:ext cx="1896720" cy="737150"/>
          </a:xfrm>
          <a:prstGeom prst="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l"/>
            <a:r>
              <a:rPr lang="en-US" altLang="ko-KR" sz="1600" b="1">
                <a:ln>
                  <a:noFill/>
                </a:ln>
                <a:solidFill>
                  <a:schemeClr val="tx1"/>
                </a:solidFill>
              </a:rPr>
              <a:t>- </a:t>
            </a:r>
            <a:r>
              <a:rPr lang="ko-KR" altLang="en-US" sz="1600" b="1">
                <a:ln>
                  <a:noFill/>
                </a:ln>
                <a:solidFill>
                  <a:schemeClr val="tx1"/>
                </a:solidFill>
              </a:rPr>
              <a:t>필터링할</a:t>
            </a:r>
            <a:r>
              <a:rPr lang="en-US" altLang="ko-KR" sz="1600" b="1" baseline="0">
                <a:ln>
                  <a:noFill/>
                </a:ln>
                <a:solidFill>
                  <a:schemeClr val="tx1"/>
                </a:solidFill>
              </a:rPr>
              <a:t> </a:t>
            </a:r>
            <a:r>
              <a:rPr lang="ko-KR" altLang="en-US" sz="1600" b="1" baseline="0">
                <a:ln>
                  <a:noFill/>
                </a:ln>
                <a:solidFill>
                  <a:schemeClr val="tx1"/>
                </a:solidFill>
              </a:rPr>
              <a:t>표</a:t>
            </a:r>
            <a:endParaRPr lang="en-US" altLang="ko-KR" sz="1600" b="1" baseline="0">
              <a:ln>
                <a:noFill/>
              </a:ln>
              <a:solidFill>
                <a:schemeClr val="tx1"/>
              </a:solidFill>
            </a:endParaRPr>
          </a:p>
          <a:p>
            <a:pPr algn="l"/>
            <a:r>
              <a:rPr lang="en-US" altLang="ko-KR" sz="1600" b="1" baseline="0">
                <a:ln>
                  <a:noFill/>
                </a:ln>
                <a:solidFill>
                  <a:schemeClr val="tx1"/>
                </a:solidFill>
              </a:rPr>
              <a:t>- </a:t>
            </a:r>
            <a:r>
              <a:rPr lang="ko-KR" altLang="en-US" sz="1600" b="1" baseline="0">
                <a:ln>
                  <a:noFill/>
                </a:ln>
                <a:solidFill>
                  <a:schemeClr val="tx1"/>
                </a:solidFill>
              </a:rPr>
              <a:t>표전체 및 일부가능 </a:t>
            </a:r>
            <a:endParaRPr lang="en-US" altLang="ko-KR" sz="1600" b="1">
              <a:ln>
                <a:noFill/>
              </a:ln>
              <a:solidFill>
                <a:schemeClr val="tx1"/>
              </a:solidFill>
            </a:endParaRPr>
          </a:p>
        </xdr:txBody>
      </xdr:sp>
      <xdr:sp macro="" textlink="">
        <xdr:nvSpPr>
          <xdr:cNvPr id="7" name="직사각형 6">
            <a:extLst>
              <a:ext uri="{FF2B5EF4-FFF2-40B4-BE49-F238E27FC236}">
                <a16:creationId xmlns:a16="http://schemas.microsoft.com/office/drawing/2014/main" id="{07458793-3CE4-40DA-B0D3-C070D2A52F89}"/>
              </a:ext>
            </a:extLst>
          </xdr:cNvPr>
          <xdr:cNvSpPr/>
        </xdr:nvSpPr>
        <xdr:spPr>
          <a:xfrm>
            <a:off x="11852412" y="5209757"/>
            <a:ext cx="2575892" cy="753717"/>
          </a:xfrm>
          <a:prstGeom prst="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l"/>
            <a:r>
              <a:rPr lang="en-US" altLang="ko-KR" sz="1600" b="1">
                <a:ln>
                  <a:noFill/>
                </a:ln>
                <a:solidFill>
                  <a:schemeClr val="tx1"/>
                </a:solidFill>
                <a:latin typeface="+mj-ea"/>
                <a:ea typeface="+mj-ea"/>
              </a:rPr>
              <a:t>- </a:t>
            </a:r>
            <a:r>
              <a:rPr lang="ko-KR" altLang="en-US" sz="1600" b="1">
                <a:ln>
                  <a:noFill/>
                </a:ln>
                <a:solidFill>
                  <a:schemeClr val="tx1"/>
                </a:solidFill>
                <a:latin typeface="+mj-ea"/>
                <a:ea typeface="+mj-ea"/>
              </a:rPr>
              <a:t>조건</a:t>
            </a:r>
            <a:r>
              <a:rPr lang="ko-KR" altLang="en-US" sz="1600" b="1" baseline="0">
                <a:ln>
                  <a:noFill/>
                </a:ln>
                <a:solidFill>
                  <a:schemeClr val="tx1"/>
                </a:solidFill>
                <a:latin typeface="+mj-ea"/>
                <a:ea typeface="+mj-ea"/>
              </a:rPr>
              <a:t> 입력</a:t>
            </a:r>
            <a:endParaRPr lang="en-US" altLang="ko-KR" sz="1600" b="1" baseline="0">
              <a:ln>
                <a:noFill/>
              </a:ln>
              <a:solidFill>
                <a:schemeClr val="tx1"/>
              </a:solidFill>
              <a:latin typeface="+mj-ea"/>
              <a:ea typeface="+mj-ea"/>
            </a:endParaRPr>
          </a:p>
          <a:p>
            <a:pPr algn="l"/>
            <a:r>
              <a:rPr lang="en-US" altLang="ko-KR" sz="1600" b="1" baseline="0">
                <a:ln>
                  <a:noFill/>
                </a:ln>
                <a:solidFill>
                  <a:schemeClr val="tx1"/>
                </a:solidFill>
                <a:latin typeface="+mj-ea"/>
                <a:ea typeface="+mj-ea"/>
              </a:rPr>
              <a:t>- </a:t>
            </a:r>
            <a:r>
              <a:rPr lang="ko-KR" altLang="en-US" sz="1600" b="1" baseline="0">
                <a:ln>
                  <a:noFill/>
                </a:ln>
                <a:solidFill>
                  <a:schemeClr val="tx1"/>
                </a:solidFill>
                <a:latin typeface="+mj-ea"/>
                <a:ea typeface="+mj-ea"/>
              </a:rPr>
              <a:t>배열수식 형태의 조건입력</a:t>
            </a:r>
            <a:endParaRPr lang="en-US" altLang="ko-KR" sz="1600" b="1">
              <a:ln>
                <a:noFill/>
              </a:ln>
              <a:solidFill>
                <a:schemeClr val="tx1"/>
              </a:solidFill>
              <a:latin typeface="+mj-ea"/>
              <a:ea typeface="+mj-ea"/>
            </a:endParaRPr>
          </a:p>
        </xdr:txBody>
      </xdr:sp>
      <xdr:sp macro="" textlink="">
        <xdr:nvSpPr>
          <xdr:cNvPr id="8" name="직사각형 7">
            <a:extLst>
              <a:ext uri="{FF2B5EF4-FFF2-40B4-BE49-F238E27FC236}">
                <a16:creationId xmlns:a16="http://schemas.microsoft.com/office/drawing/2014/main" id="{86906551-1327-43A1-AD1F-F0C57F9388F4}"/>
              </a:ext>
            </a:extLst>
          </xdr:cNvPr>
          <xdr:cNvSpPr/>
        </xdr:nvSpPr>
        <xdr:spPr>
          <a:xfrm>
            <a:off x="14701626" y="5085523"/>
            <a:ext cx="1764199" cy="1118153"/>
          </a:xfrm>
          <a:prstGeom prst="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l"/>
            <a:r>
              <a:rPr lang="en-US" altLang="ko-KR" sz="1600" b="1">
                <a:ln>
                  <a:noFill/>
                </a:ln>
                <a:solidFill>
                  <a:schemeClr val="tx1"/>
                </a:solidFill>
                <a:latin typeface="+mj-ea"/>
                <a:ea typeface="+mj-ea"/>
              </a:rPr>
              <a:t>- </a:t>
            </a:r>
            <a:r>
              <a:rPr lang="ko-KR" altLang="en-US" sz="1600" b="1">
                <a:ln>
                  <a:noFill/>
                </a:ln>
                <a:solidFill>
                  <a:schemeClr val="tx1"/>
                </a:solidFill>
                <a:latin typeface="+mj-ea"/>
                <a:ea typeface="+mj-ea"/>
              </a:rPr>
              <a:t>결과값이 없을 때</a:t>
            </a:r>
            <a:endParaRPr lang="en-US" altLang="ko-KR" sz="1600" b="1">
              <a:ln>
                <a:noFill/>
              </a:ln>
              <a:solidFill>
                <a:schemeClr val="tx1"/>
              </a:solidFill>
              <a:latin typeface="+mj-ea"/>
              <a:ea typeface="+mj-ea"/>
            </a:endParaRPr>
          </a:p>
          <a:p>
            <a:pPr algn="l"/>
            <a:r>
              <a:rPr lang="en-US" altLang="ko-KR" sz="1600" b="1" baseline="0">
                <a:ln>
                  <a:noFill/>
                </a:ln>
                <a:solidFill>
                  <a:schemeClr val="tx1"/>
                </a:solidFill>
                <a:latin typeface="+mj-ea"/>
                <a:ea typeface="+mj-ea"/>
              </a:rPr>
              <a:t>  </a:t>
            </a:r>
            <a:r>
              <a:rPr lang="ko-KR" altLang="en-US" sz="1600" b="1" baseline="0">
                <a:ln>
                  <a:noFill/>
                </a:ln>
                <a:solidFill>
                  <a:schemeClr val="tx1"/>
                </a:solidFill>
                <a:latin typeface="+mj-ea"/>
                <a:ea typeface="+mj-ea"/>
              </a:rPr>
              <a:t>대신 입력할 문구</a:t>
            </a:r>
            <a:endParaRPr lang="en-US" altLang="ko-KR" sz="1600" b="1" baseline="0">
              <a:ln>
                <a:noFill/>
              </a:ln>
              <a:solidFill>
                <a:schemeClr val="tx1"/>
              </a:solidFill>
              <a:latin typeface="+mj-ea"/>
              <a:ea typeface="+mj-ea"/>
            </a:endParaRPr>
          </a:p>
          <a:p>
            <a:pPr algn="l"/>
            <a:r>
              <a:rPr lang="en-US" altLang="ko-KR" sz="1600" b="1" baseline="0">
                <a:ln>
                  <a:noFill/>
                </a:ln>
                <a:solidFill>
                  <a:schemeClr val="tx1"/>
                </a:solidFill>
                <a:latin typeface="+mj-ea"/>
                <a:ea typeface="+mj-ea"/>
              </a:rPr>
              <a:t>- </a:t>
            </a:r>
            <a:r>
              <a:rPr lang="ko-KR" altLang="en-US" sz="1600" b="1" baseline="0">
                <a:ln>
                  <a:noFill/>
                </a:ln>
                <a:solidFill>
                  <a:schemeClr val="tx1"/>
                </a:solidFill>
                <a:latin typeface="+mj-ea"/>
                <a:ea typeface="+mj-ea"/>
              </a:rPr>
              <a:t>생략가능</a:t>
            </a:r>
            <a:r>
              <a:rPr lang="en-US" altLang="ko-KR" sz="1600" b="1" baseline="0">
                <a:ln>
                  <a:noFill/>
                </a:ln>
                <a:solidFill>
                  <a:schemeClr val="tx1"/>
                </a:solidFill>
                <a:latin typeface="+mj-ea"/>
                <a:ea typeface="+mj-ea"/>
              </a:rPr>
              <a:t> </a:t>
            </a:r>
            <a:endParaRPr lang="en-US" altLang="ko-KR" sz="1600" b="1">
              <a:ln>
                <a:noFill/>
              </a:ln>
              <a:solidFill>
                <a:schemeClr val="tx1"/>
              </a:solidFill>
              <a:latin typeface="+mj-ea"/>
              <a:ea typeface="+mj-ea"/>
            </a:endParaRPr>
          </a:p>
        </xdr:txBody>
      </xdr:sp>
      <xdr:sp macro="" textlink="">
        <xdr:nvSpPr>
          <xdr:cNvPr id="9" name="직사각형 8">
            <a:extLst>
              <a:ext uri="{FF2B5EF4-FFF2-40B4-BE49-F238E27FC236}">
                <a16:creationId xmlns:a16="http://schemas.microsoft.com/office/drawing/2014/main" id="{C4C04EBF-7518-440F-94A0-B4AEBEB8BE18}"/>
              </a:ext>
            </a:extLst>
          </xdr:cNvPr>
          <xdr:cNvSpPr/>
        </xdr:nvSpPr>
        <xdr:spPr>
          <a:xfrm>
            <a:off x="10121345" y="4489171"/>
            <a:ext cx="819981" cy="356155"/>
          </a:xfrm>
          <a:prstGeom prst="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2000" b="1">
                <a:ln>
                  <a:noFill/>
                </a:ln>
                <a:solidFill>
                  <a:srgbClr val="FF0000"/>
                </a:solidFill>
              </a:rPr>
              <a:t>인수</a:t>
            </a:r>
            <a:r>
              <a:rPr lang="en-US" altLang="ko-KR" sz="2000" b="1">
                <a:ln>
                  <a:noFill/>
                </a:ln>
                <a:solidFill>
                  <a:srgbClr val="FF0000"/>
                </a:solidFill>
              </a:rPr>
              <a:t>1</a:t>
            </a:r>
          </a:p>
        </xdr:txBody>
      </xdr:sp>
      <xdr:sp macro="" textlink="">
        <xdr:nvSpPr>
          <xdr:cNvPr id="10" name="직사각형 9">
            <a:extLst>
              <a:ext uri="{FF2B5EF4-FFF2-40B4-BE49-F238E27FC236}">
                <a16:creationId xmlns:a16="http://schemas.microsoft.com/office/drawing/2014/main" id="{482C6DBD-2771-46B6-9A02-F5945E0BCF75}"/>
              </a:ext>
            </a:extLst>
          </xdr:cNvPr>
          <xdr:cNvSpPr/>
        </xdr:nvSpPr>
        <xdr:spPr>
          <a:xfrm>
            <a:off x="12755214" y="4489171"/>
            <a:ext cx="819981" cy="356155"/>
          </a:xfrm>
          <a:prstGeom prst="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2000" b="1">
                <a:ln>
                  <a:noFill/>
                </a:ln>
                <a:solidFill>
                  <a:srgbClr val="FF0000"/>
                </a:solidFill>
              </a:rPr>
              <a:t>인수</a:t>
            </a:r>
            <a:r>
              <a:rPr lang="en-US" altLang="ko-KR" sz="2000" b="1">
                <a:ln>
                  <a:noFill/>
                </a:ln>
                <a:solidFill>
                  <a:srgbClr val="FF0000"/>
                </a:solidFill>
              </a:rPr>
              <a:t>2</a:t>
            </a:r>
          </a:p>
        </xdr:txBody>
      </xdr:sp>
      <xdr:sp macro="" textlink="">
        <xdr:nvSpPr>
          <xdr:cNvPr id="11" name="직사각형 10">
            <a:extLst>
              <a:ext uri="{FF2B5EF4-FFF2-40B4-BE49-F238E27FC236}">
                <a16:creationId xmlns:a16="http://schemas.microsoft.com/office/drawing/2014/main" id="{5C089E6B-9DD4-437D-99A9-47CF77F57FD1}"/>
              </a:ext>
            </a:extLst>
          </xdr:cNvPr>
          <xdr:cNvSpPr/>
        </xdr:nvSpPr>
        <xdr:spPr>
          <a:xfrm>
            <a:off x="15206866" y="4489171"/>
            <a:ext cx="819981" cy="356155"/>
          </a:xfrm>
          <a:prstGeom prst="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2000" b="1">
                <a:ln>
                  <a:noFill/>
                </a:ln>
                <a:solidFill>
                  <a:srgbClr val="FF0000"/>
                </a:solidFill>
              </a:rPr>
              <a:t>인수</a:t>
            </a:r>
            <a:r>
              <a:rPr lang="en-US" altLang="ko-KR" sz="2000" b="1">
                <a:ln>
                  <a:noFill/>
                </a:ln>
                <a:solidFill>
                  <a:srgbClr val="FF0000"/>
                </a:solidFill>
              </a:rPr>
              <a:t>3</a:t>
            </a:r>
          </a:p>
        </xdr:txBody>
      </xdr:sp>
    </xdr:grpSp>
    <xdr:clientData/>
  </xdr:twoCellAnchor>
  <xdr:twoCellAnchor editAs="absolute">
    <xdr:from>
      <xdr:col>2</xdr:col>
      <xdr:colOff>662608</xdr:colOff>
      <xdr:row>44</xdr:row>
      <xdr:rowOff>74542</xdr:rowOff>
    </xdr:from>
    <xdr:to>
      <xdr:col>14</xdr:col>
      <xdr:colOff>805326</xdr:colOff>
      <xdr:row>60</xdr:row>
      <xdr:rowOff>99391</xdr:rowOff>
    </xdr:to>
    <xdr:sp macro="" textlink="">
      <xdr:nvSpPr>
        <xdr:cNvPr id="12" name="사각형: 둥근 모서리 11">
          <a:extLst>
            <a:ext uri="{FF2B5EF4-FFF2-40B4-BE49-F238E27FC236}">
              <a16:creationId xmlns:a16="http://schemas.microsoft.com/office/drawing/2014/main" id="{10941E87-5053-4365-940C-318F788FC144}"/>
            </a:ext>
          </a:extLst>
        </xdr:cNvPr>
        <xdr:cNvSpPr/>
      </xdr:nvSpPr>
      <xdr:spPr>
        <a:xfrm>
          <a:off x="1472233" y="9237592"/>
          <a:ext cx="6600668" cy="3377649"/>
        </a:xfrm>
        <a:prstGeom prst="roundRect">
          <a:avLst>
            <a:gd name="adj" fmla="val 6416"/>
          </a:avLst>
        </a:prstGeom>
        <a:solidFill>
          <a:schemeClr val="accent4">
            <a:lumMod val="20000"/>
            <a:lumOff val="80000"/>
          </a:schemeClr>
        </a:solidFill>
        <a:ln w="57150">
          <a:solidFill>
            <a:srgbClr val="FFC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altLang="ko-KR" sz="1600" b="1">
              <a:solidFill>
                <a:schemeClr val="tx1"/>
              </a:solidFill>
              <a:latin typeface="나눔고딕" panose="020D0604000000000000" pitchFamily="50" charset="-127"/>
              <a:ea typeface="나눔고딕" panose="020D0604000000000000" pitchFamily="50" charset="-127"/>
            </a:rPr>
            <a:t>※ </a:t>
          </a:r>
          <a:r>
            <a:rPr lang="ko-KR" altLang="en-US" sz="1600" b="1">
              <a:solidFill>
                <a:schemeClr val="tx1"/>
              </a:solidFill>
              <a:latin typeface="나눔고딕" panose="020D0604000000000000" pitchFamily="50" charset="-127"/>
              <a:ea typeface="나눔고딕" panose="020D0604000000000000" pitchFamily="50" charset="-127"/>
            </a:rPr>
            <a:t>특징</a:t>
          </a:r>
          <a:endParaRPr lang="en-US" altLang="ko-KR" sz="1600" b="1">
            <a:solidFill>
              <a:schemeClr val="tx1"/>
            </a:solidFill>
            <a:latin typeface="나눔고딕" panose="020D0604000000000000" pitchFamily="50" charset="-127"/>
            <a:ea typeface="나눔고딕" panose="020D0604000000000000" pitchFamily="50" charset="-127"/>
          </a:endParaRPr>
        </a:p>
        <a:p>
          <a:pPr algn="l"/>
          <a:endParaRPr lang="en-US" altLang="ko-KR" sz="1200" b="1">
            <a:solidFill>
              <a:schemeClr val="tx1"/>
            </a:solidFill>
            <a:latin typeface="나눔고딕" panose="020D0604000000000000" pitchFamily="50" charset="-127"/>
            <a:ea typeface="나눔고딕" panose="020D0604000000000000" pitchFamily="50" charset="-127"/>
          </a:endParaRPr>
        </a:p>
        <a:p>
          <a:pPr algn="l"/>
          <a:r>
            <a:rPr lang="en-US" altLang="ko-KR" sz="1200" b="1">
              <a:solidFill>
                <a:schemeClr val="tx1"/>
              </a:solidFill>
              <a:latin typeface="나눔고딕" panose="020D0604000000000000" pitchFamily="50" charset="-127"/>
              <a:ea typeface="나눔고딕" panose="020D0604000000000000" pitchFamily="50" charset="-127"/>
            </a:rPr>
            <a:t>- </a:t>
          </a:r>
          <a:r>
            <a:rPr lang="ko-KR" altLang="en-US" sz="1200" b="1">
              <a:solidFill>
                <a:schemeClr val="tx1"/>
              </a:solidFill>
              <a:latin typeface="나눔고딕" panose="020D0604000000000000" pitchFamily="50" charset="-127"/>
              <a:ea typeface="나눔고딕" panose="020D0604000000000000" pitchFamily="50" charset="-127"/>
            </a:rPr>
            <a:t>함수이므로 조건이 변경되면 필터링 결과값도 즉시 자동업데이트 된다</a:t>
          </a:r>
          <a:r>
            <a:rPr lang="en-US" altLang="ko-KR" sz="1200" b="1">
              <a:solidFill>
                <a:schemeClr val="tx1"/>
              </a:solidFill>
              <a:latin typeface="나눔고딕" panose="020D0604000000000000" pitchFamily="50" charset="-127"/>
              <a:ea typeface="나눔고딕" panose="020D0604000000000000" pitchFamily="50" charset="-127"/>
            </a:rPr>
            <a:t>.</a:t>
          </a:r>
          <a:r>
            <a:rPr lang="en-US" altLang="ko-KR" sz="1200" b="1" baseline="0">
              <a:solidFill>
                <a:schemeClr val="tx1"/>
              </a:solidFill>
              <a:latin typeface="나눔고딕" panose="020D0604000000000000" pitchFamily="50" charset="-127"/>
              <a:ea typeface="나눔고딕" panose="020D0604000000000000" pitchFamily="50" charset="-127"/>
            </a:rPr>
            <a:t> (</a:t>
          </a:r>
          <a:r>
            <a:rPr lang="ko-KR" altLang="en-US" sz="1200" b="1" baseline="0">
              <a:solidFill>
                <a:schemeClr val="tx1"/>
              </a:solidFill>
              <a:latin typeface="나눔고딕" panose="020D0604000000000000" pitchFamily="50" charset="-127"/>
              <a:ea typeface="나눔고딕" panose="020D0604000000000000" pitchFamily="50" charset="-127"/>
            </a:rPr>
            <a:t>최고 장점</a:t>
          </a:r>
          <a:r>
            <a:rPr lang="en-US" altLang="ko-KR" sz="1200" b="1" baseline="0">
              <a:solidFill>
                <a:schemeClr val="tx1"/>
              </a:solidFill>
              <a:latin typeface="나눔고딕" panose="020D0604000000000000" pitchFamily="50" charset="-127"/>
              <a:ea typeface="나눔고딕" panose="020D0604000000000000" pitchFamily="50" charset="-127"/>
            </a:rPr>
            <a:t>)</a:t>
          </a:r>
        </a:p>
        <a:p>
          <a:pPr algn="l"/>
          <a:endParaRPr lang="en-US" altLang="ko-KR" sz="1200" b="1">
            <a:solidFill>
              <a:schemeClr val="tx1"/>
            </a:solidFill>
            <a:latin typeface="나눔고딕" panose="020D0604000000000000" pitchFamily="50" charset="-127"/>
            <a:ea typeface="나눔고딕" panose="020D0604000000000000" pitchFamily="50" charset="-127"/>
          </a:endParaRPr>
        </a:p>
        <a:p>
          <a:pPr algn="l"/>
          <a:r>
            <a:rPr lang="en-US" altLang="ko-KR" sz="1200" b="1">
              <a:solidFill>
                <a:schemeClr val="tx1"/>
              </a:solidFill>
              <a:latin typeface="나눔고딕" panose="020D0604000000000000" pitchFamily="50" charset="-127"/>
              <a:ea typeface="나눔고딕" panose="020D0604000000000000" pitchFamily="50" charset="-127"/>
            </a:rPr>
            <a:t>- </a:t>
          </a:r>
          <a:r>
            <a:rPr lang="ko-KR" altLang="en-US" sz="1200" b="1">
              <a:solidFill>
                <a:schemeClr val="tx1"/>
              </a:solidFill>
              <a:latin typeface="나눔고딕" panose="020D0604000000000000" pitchFamily="50" charset="-127"/>
              <a:ea typeface="나눔고딕" panose="020D0604000000000000" pitchFamily="50" charset="-127"/>
            </a:rPr>
            <a:t>자동필터를</a:t>
          </a:r>
          <a:r>
            <a:rPr lang="ko-KR" altLang="en-US" sz="1200" b="1" baseline="0">
              <a:solidFill>
                <a:schemeClr val="tx1"/>
              </a:solidFill>
              <a:latin typeface="나눔고딕" panose="020D0604000000000000" pitchFamily="50" charset="-127"/>
              <a:ea typeface="나눔고딕" panose="020D0604000000000000" pitchFamily="50" charset="-127"/>
            </a:rPr>
            <a:t> 대신해 활용가능하다</a:t>
          </a:r>
          <a:r>
            <a:rPr lang="en-US" altLang="ko-KR" sz="1200" b="1" baseline="0">
              <a:solidFill>
                <a:schemeClr val="tx1"/>
              </a:solidFill>
              <a:latin typeface="나눔고딕" panose="020D0604000000000000" pitchFamily="50" charset="-127"/>
              <a:ea typeface="나눔고딕" panose="020D0604000000000000" pitchFamily="50" charset="-127"/>
            </a:rPr>
            <a:t>.</a:t>
          </a:r>
        </a:p>
        <a:p>
          <a:pPr algn="l"/>
          <a:endParaRPr lang="en-US" altLang="ko-KR" sz="1200" b="1" baseline="0">
            <a:solidFill>
              <a:schemeClr val="tx1"/>
            </a:solidFill>
            <a:latin typeface="나눔고딕" panose="020D0604000000000000" pitchFamily="50" charset="-127"/>
            <a:ea typeface="나눔고딕" panose="020D0604000000000000" pitchFamily="50" charset="-127"/>
          </a:endParaRPr>
        </a:p>
        <a:p>
          <a:pPr algn="l"/>
          <a:r>
            <a:rPr lang="en-US" altLang="ko-KR" sz="1200" b="1" baseline="0">
              <a:solidFill>
                <a:schemeClr val="tx1"/>
              </a:solidFill>
              <a:latin typeface="나눔고딕" panose="020D0604000000000000" pitchFamily="50" charset="-127"/>
              <a:ea typeface="나눔고딕" panose="020D0604000000000000" pitchFamily="50" charset="-127"/>
            </a:rPr>
            <a:t>- </a:t>
          </a:r>
          <a:r>
            <a:rPr lang="ko-KR" altLang="en-US" sz="1200" b="1" baseline="0">
              <a:solidFill>
                <a:schemeClr val="tx1"/>
              </a:solidFill>
              <a:latin typeface="나눔고딕" panose="020D0604000000000000" pitchFamily="50" charset="-127"/>
              <a:ea typeface="나눔고딕" panose="020D0604000000000000" pitchFamily="50" charset="-127"/>
            </a:rPr>
            <a:t>고급필터 </a:t>
          </a:r>
          <a:r>
            <a:rPr lang="en-US" altLang="ko-KR" sz="1200" b="1" baseline="0">
              <a:solidFill>
                <a:schemeClr val="tx1"/>
              </a:solidFill>
              <a:latin typeface="나눔고딕" panose="020D0604000000000000" pitchFamily="50" charset="-127"/>
              <a:ea typeface="나눔고딕" panose="020D0604000000000000" pitchFamily="50" charset="-127"/>
            </a:rPr>
            <a:t>+ </a:t>
          </a:r>
          <a:r>
            <a:rPr lang="ko-KR" altLang="en-US" sz="1200" b="1" baseline="0">
              <a:solidFill>
                <a:schemeClr val="tx1"/>
              </a:solidFill>
              <a:latin typeface="나눔고딕" panose="020D0604000000000000" pitchFamily="50" charset="-127"/>
              <a:ea typeface="나눔고딕" panose="020D0604000000000000" pitchFamily="50" charset="-127"/>
            </a:rPr>
            <a:t>매크로의 강력한 기능도 대체가능하다</a:t>
          </a:r>
          <a:r>
            <a:rPr lang="en-US" altLang="ko-KR" sz="1200" b="1" baseline="0">
              <a:solidFill>
                <a:schemeClr val="tx1"/>
              </a:solidFill>
              <a:latin typeface="나눔고딕" panose="020D0604000000000000" pitchFamily="50" charset="-127"/>
              <a:ea typeface="나눔고딕" panose="020D0604000000000000" pitchFamily="50" charset="-127"/>
            </a:rPr>
            <a:t>.(100% </a:t>
          </a:r>
          <a:r>
            <a:rPr lang="ko-KR" altLang="en-US" sz="1200" b="1" baseline="0">
              <a:solidFill>
                <a:schemeClr val="tx1"/>
              </a:solidFill>
              <a:latin typeface="나눔고딕" panose="020D0604000000000000" pitchFamily="50" charset="-127"/>
              <a:ea typeface="나눔고딕" panose="020D0604000000000000" pitchFamily="50" charset="-127"/>
            </a:rPr>
            <a:t>대체는 아님</a:t>
          </a:r>
          <a:r>
            <a:rPr lang="en-US" altLang="ko-KR" sz="1200" b="1" baseline="0">
              <a:solidFill>
                <a:schemeClr val="tx1"/>
              </a:solidFill>
              <a:latin typeface="나눔고딕" panose="020D0604000000000000" pitchFamily="50" charset="-127"/>
              <a:ea typeface="나눔고딕" panose="020D0604000000000000" pitchFamily="50" charset="-127"/>
            </a:rPr>
            <a:t>)</a:t>
          </a:r>
        </a:p>
        <a:p>
          <a:pPr algn="l"/>
          <a:r>
            <a:rPr lang="en-US" altLang="ko-KR" sz="1200" b="1" baseline="0">
              <a:solidFill>
                <a:schemeClr val="tx1"/>
              </a:solidFill>
              <a:latin typeface="나눔고딕" panose="020D0604000000000000" pitchFamily="50" charset="-127"/>
              <a:ea typeface="나눔고딕" panose="020D0604000000000000" pitchFamily="50" charset="-127"/>
            </a:rPr>
            <a:t>   ( OFFICE 365</a:t>
          </a:r>
          <a:r>
            <a:rPr lang="ko-KR" altLang="en-US" sz="1200" b="1" baseline="0">
              <a:solidFill>
                <a:schemeClr val="tx1"/>
              </a:solidFill>
              <a:latin typeface="나눔고딕" panose="020D0604000000000000" pitchFamily="50" charset="-127"/>
              <a:ea typeface="나눔고딕" panose="020D0604000000000000" pitchFamily="50" charset="-127"/>
            </a:rPr>
            <a:t>의 구독자가 아니라면 고급필터 </a:t>
          </a:r>
          <a:r>
            <a:rPr lang="en-US" altLang="ko-KR" sz="1200" b="1" baseline="0">
              <a:solidFill>
                <a:schemeClr val="tx1"/>
              </a:solidFill>
              <a:latin typeface="나눔고딕" panose="020D0604000000000000" pitchFamily="50" charset="-127"/>
              <a:ea typeface="나눔고딕" panose="020D0604000000000000" pitchFamily="50" charset="-127"/>
            </a:rPr>
            <a:t>+ </a:t>
          </a:r>
          <a:r>
            <a:rPr lang="ko-KR" altLang="en-US" sz="1200" b="1" baseline="0">
              <a:solidFill>
                <a:schemeClr val="tx1"/>
              </a:solidFill>
              <a:latin typeface="나눔고딕" panose="020D0604000000000000" pitchFamily="50" charset="-127"/>
              <a:ea typeface="나눔고딕" panose="020D0604000000000000" pitchFamily="50" charset="-127"/>
            </a:rPr>
            <a:t>매크로 기능을 활용하면 된다</a:t>
          </a:r>
          <a:r>
            <a:rPr lang="en-US" altLang="ko-KR" sz="1200" b="1" baseline="0">
              <a:solidFill>
                <a:schemeClr val="tx1"/>
              </a:solidFill>
              <a:latin typeface="나눔고딕" panose="020D0604000000000000" pitchFamily="50" charset="-127"/>
              <a:ea typeface="나눔고딕" panose="020D0604000000000000" pitchFamily="50" charset="-127"/>
            </a:rPr>
            <a:t>. )</a:t>
          </a:r>
        </a:p>
        <a:p>
          <a:pPr algn="l"/>
          <a:endParaRPr lang="en-US" altLang="ko-KR" sz="1200" b="1">
            <a:solidFill>
              <a:schemeClr val="tx1"/>
            </a:solidFill>
            <a:latin typeface="나눔고딕" panose="020D0604000000000000" pitchFamily="50" charset="-127"/>
            <a:ea typeface="나눔고딕" panose="020D0604000000000000" pitchFamily="50" charset="-127"/>
          </a:endParaRPr>
        </a:p>
        <a:p>
          <a:pPr algn="l"/>
          <a:r>
            <a:rPr lang="en-US" altLang="ko-KR" sz="1200" b="1">
              <a:solidFill>
                <a:schemeClr val="tx1"/>
              </a:solidFill>
              <a:latin typeface="나눔고딕" panose="020D0604000000000000" pitchFamily="50" charset="-127"/>
              <a:ea typeface="나눔고딕" panose="020D0604000000000000" pitchFamily="50" charset="-127"/>
            </a:rPr>
            <a:t>-</a:t>
          </a:r>
          <a:r>
            <a:rPr lang="en-US" altLang="ko-KR" sz="1200" b="1" baseline="0">
              <a:solidFill>
                <a:schemeClr val="tx1"/>
              </a:solidFill>
              <a:latin typeface="나눔고딕" panose="020D0604000000000000" pitchFamily="50" charset="-127"/>
              <a:ea typeface="나눔고딕" panose="020D0604000000000000" pitchFamily="50" charset="-127"/>
            </a:rPr>
            <a:t> </a:t>
          </a:r>
          <a:r>
            <a:rPr lang="ko-KR" altLang="en-US" sz="1200" b="1" baseline="0">
              <a:solidFill>
                <a:schemeClr val="tx1"/>
              </a:solidFill>
              <a:latin typeface="나눔고딕" panose="020D0604000000000000" pitchFamily="50" charset="-127"/>
              <a:ea typeface="나눔고딕" panose="020D0604000000000000" pitchFamily="50" charset="-127"/>
            </a:rPr>
            <a:t>필드명을 인식하지 않는다</a:t>
          </a:r>
          <a:r>
            <a:rPr lang="en-US" altLang="ko-KR" sz="1200" b="1" baseline="0">
              <a:solidFill>
                <a:schemeClr val="tx1"/>
              </a:solidFill>
              <a:latin typeface="나눔고딕" panose="020D0604000000000000" pitchFamily="50" charset="-127"/>
              <a:ea typeface="나눔고딕" panose="020D0604000000000000" pitchFamily="50" charset="-127"/>
            </a:rPr>
            <a:t>. </a:t>
          </a:r>
          <a:r>
            <a:rPr lang="ko-KR" altLang="en-US" sz="1200" b="1" baseline="0">
              <a:solidFill>
                <a:schemeClr val="tx1"/>
              </a:solidFill>
              <a:latin typeface="나눔고딕" panose="020D0604000000000000" pitchFamily="50" charset="-127"/>
              <a:ea typeface="나눔고딕" panose="020D0604000000000000" pitchFamily="50" charset="-127"/>
            </a:rPr>
            <a:t>필드명도 일반데이터로 인식한다</a:t>
          </a:r>
          <a:r>
            <a:rPr lang="en-US" altLang="ko-KR" sz="1200" b="1" baseline="0">
              <a:solidFill>
                <a:schemeClr val="tx1"/>
              </a:solidFill>
              <a:latin typeface="나눔고딕" panose="020D0604000000000000" pitchFamily="50" charset="-127"/>
              <a:ea typeface="나눔고딕" panose="020D0604000000000000" pitchFamily="50" charset="-127"/>
            </a:rPr>
            <a:t>.</a:t>
          </a:r>
          <a:br>
            <a:rPr lang="en-US" altLang="ko-KR" sz="1200" b="1" baseline="0">
              <a:solidFill>
                <a:schemeClr val="tx1"/>
              </a:solidFill>
              <a:latin typeface="나눔고딕" panose="020D0604000000000000" pitchFamily="50" charset="-127"/>
              <a:ea typeface="나눔고딕" panose="020D0604000000000000" pitchFamily="50" charset="-127"/>
            </a:rPr>
          </a:br>
          <a:r>
            <a:rPr lang="en-US" altLang="ko-KR" sz="1200" b="1" baseline="0">
              <a:solidFill>
                <a:schemeClr val="tx1"/>
              </a:solidFill>
              <a:latin typeface="나눔고딕" panose="020D0604000000000000" pitchFamily="50" charset="-127"/>
              <a:ea typeface="나눔고딕" panose="020D0604000000000000" pitchFamily="50" charset="-127"/>
            </a:rPr>
            <a:t>   </a:t>
          </a:r>
          <a:r>
            <a:rPr lang="ko-KR" altLang="en-US" sz="1200" b="1" baseline="0">
              <a:solidFill>
                <a:schemeClr val="tx1"/>
              </a:solidFill>
              <a:latin typeface="나눔고딕" panose="020D0604000000000000" pitchFamily="50" charset="-127"/>
              <a:ea typeface="나눔고딕" panose="020D0604000000000000" pitchFamily="50" charset="-127"/>
            </a:rPr>
            <a:t>참고</a:t>
          </a:r>
          <a:r>
            <a:rPr lang="en-US" altLang="ko-KR" sz="1200" b="1" baseline="0">
              <a:solidFill>
                <a:schemeClr val="tx1"/>
              </a:solidFill>
              <a:latin typeface="나눔고딕" panose="020D0604000000000000" pitchFamily="50" charset="-127"/>
              <a:ea typeface="나눔고딕" panose="020D0604000000000000" pitchFamily="50" charset="-127"/>
            </a:rPr>
            <a:t>) </a:t>
          </a:r>
          <a:r>
            <a:rPr lang="ko-KR" altLang="en-US" sz="1200" b="1" baseline="0">
              <a:solidFill>
                <a:schemeClr val="tx1"/>
              </a:solidFill>
              <a:latin typeface="나눔고딕" panose="020D0604000000000000" pitchFamily="50" charset="-127"/>
              <a:ea typeface="나눔고딕" panose="020D0604000000000000" pitchFamily="50" charset="-127"/>
            </a:rPr>
            <a:t>필드명을 인식하는 편집툴 </a:t>
          </a:r>
          <a:r>
            <a:rPr lang="en-US" altLang="ko-KR" sz="1200" b="1" baseline="0">
              <a:solidFill>
                <a:schemeClr val="tx1"/>
              </a:solidFill>
              <a:latin typeface="나눔고딕" panose="020D0604000000000000" pitchFamily="50" charset="-127"/>
              <a:ea typeface="나눔고딕" panose="020D0604000000000000" pitchFamily="50" charset="-127"/>
            </a:rPr>
            <a:t>: </a:t>
          </a:r>
          <a:r>
            <a:rPr lang="ko-KR" altLang="en-US" sz="1200" b="1" baseline="0">
              <a:solidFill>
                <a:schemeClr val="tx1"/>
              </a:solidFill>
              <a:latin typeface="나눔고딕" panose="020D0604000000000000" pitchFamily="50" charset="-127"/>
              <a:ea typeface="나눔고딕" panose="020D0604000000000000" pitchFamily="50" charset="-127"/>
            </a:rPr>
            <a:t>고급필터</a:t>
          </a:r>
          <a:r>
            <a:rPr lang="en-US" altLang="ko-KR" sz="1200" b="1" baseline="0">
              <a:solidFill>
                <a:schemeClr val="tx1"/>
              </a:solidFill>
              <a:latin typeface="나눔고딕" panose="020D0604000000000000" pitchFamily="50" charset="-127"/>
              <a:ea typeface="나눔고딕" panose="020D0604000000000000" pitchFamily="50" charset="-127"/>
            </a:rPr>
            <a:t>, </a:t>
          </a:r>
          <a:r>
            <a:rPr lang="ko-KR" altLang="en-US" sz="1200" b="1" baseline="0">
              <a:solidFill>
                <a:schemeClr val="tx1"/>
              </a:solidFill>
              <a:latin typeface="나눔고딕" panose="020D0604000000000000" pitchFamily="50" charset="-127"/>
              <a:ea typeface="나눔고딕" panose="020D0604000000000000" pitchFamily="50" charset="-127"/>
            </a:rPr>
            <a:t>피벗테이블</a:t>
          </a:r>
          <a:endParaRPr lang="en-US" altLang="ko-KR" sz="1200" b="1" baseline="0">
            <a:solidFill>
              <a:schemeClr val="tx1"/>
            </a:solidFill>
            <a:latin typeface="나눔고딕" panose="020D0604000000000000" pitchFamily="50" charset="-127"/>
            <a:ea typeface="나눔고딕" panose="020D0604000000000000" pitchFamily="50" charset="-127"/>
          </a:endParaRPr>
        </a:p>
        <a:p>
          <a:pPr algn="l"/>
          <a:endParaRPr lang="en-US" altLang="ko-KR" sz="1200" b="1" baseline="0">
            <a:solidFill>
              <a:schemeClr val="tx1"/>
            </a:solidFill>
            <a:latin typeface="나눔고딕" panose="020D0604000000000000" pitchFamily="50" charset="-127"/>
            <a:ea typeface="나눔고딕" panose="020D0604000000000000" pitchFamily="50" charset="-127"/>
          </a:endParaRPr>
        </a:p>
        <a:p>
          <a:pPr algn="l"/>
          <a:r>
            <a:rPr lang="en-US" altLang="ko-KR" sz="1200" b="1" baseline="0">
              <a:solidFill>
                <a:schemeClr val="tx1"/>
              </a:solidFill>
              <a:latin typeface="나눔고딕" panose="020D0604000000000000" pitchFamily="50" charset="-127"/>
              <a:ea typeface="나눔고딕" panose="020D0604000000000000" pitchFamily="50" charset="-127"/>
            </a:rPr>
            <a:t>- </a:t>
          </a:r>
          <a:r>
            <a:rPr lang="ko-KR" altLang="en-US" sz="1200" b="1" baseline="0">
              <a:solidFill>
                <a:schemeClr val="tx1"/>
              </a:solidFill>
              <a:latin typeface="나눔고딕" panose="020D0604000000000000" pitchFamily="50" charset="-127"/>
              <a:ea typeface="나눔고딕" panose="020D0604000000000000" pitchFamily="50" charset="-127"/>
            </a:rPr>
            <a:t>조건입력을 여러 형태로 활용가능하며 활용가능범위가 넓어지면 조건입력의 난이도도 어려워진다</a:t>
          </a:r>
          <a:r>
            <a:rPr lang="en-US" altLang="ko-KR" sz="1200" b="1" baseline="0">
              <a:solidFill>
                <a:schemeClr val="tx1"/>
              </a:solidFill>
              <a:latin typeface="나눔고딕" panose="020D0604000000000000" pitchFamily="50" charset="-127"/>
              <a:ea typeface="나눔고딕" panose="020D0604000000000000" pitchFamily="50" charset="-127"/>
            </a:rPr>
            <a:t>.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619125</xdr:colOff>
      <xdr:row>1</xdr:row>
      <xdr:rowOff>85726</xdr:rowOff>
    </xdr:from>
    <xdr:to>
      <xdr:col>15</xdr:col>
      <xdr:colOff>790575</xdr:colOff>
      <xdr:row>1</xdr:row>
      <xdr:rowOff>514350</xdr:rowOff>
    </xdr:to>
    <xdr:sp macro="[0]!고급필터실행" textlink="">
      <xdr:nvSpPr>
        <xdr:cNvPr id="2" name="사각형: 둥근 모서리 1">
          <a:extLst>
            <a:ext uri="{FF2B5EF4-FFF2-40B4-BE49-F238E27FC236}">
              <a16:creationId xmlns:a16="http://schemas.microsoft.com/office/drawing/2014/main" id="{4AB9432E-7830-417F-BE72-CD9117AD1358}"/>
            </a:ext>
          </a:extLst>
        </xdr:cNvPr>
        <xdr:cNvSpPr/>
      </xdr:nvSpPr>
      <xdr:spPr>
        <a:xfrm>
          <a:off x="7639050" y="190501"/>
          <a:ext cx="1543050" cy="428624"/>
        </a:xfrm>
        <a:prstGeom prst="roundRect">
          <a:avLst/>
        </a:prstGeom>
        <a:solidFill>
          <a:schemeClr val="accent5">
            <a:lumMod val="40000"/>
            <a:lumOff val="60000"/>
          </a:schemeClr>
        </a:solidFill>
        <a:ln w="38100">
          <a:solidFill>
            <a:schemeClr val="accent5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400" b="1">
              <a:solidFill>
                <a:schemeClr val="tx1"/>
              </a:solidFill>
              <a:latin typeface="나눔고딕" panose="020D0604000000000000" pitchFamily="50" charset="-127"/>
              <a:ea typeface="나눔고딕" panose="020D0604000000000000" pitchFamily="50" charset="-127"/>
            </a:rPr>
            <a:t>고급필터실행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31060</xdr:colOff>
      <xdr:row>1</xdr:row>
      <xdr:rowOff>0</xdr:rowOff>
    </xdr:from>
    <xdr:to>
      <xdr:col>10</xdr:col>
      <xdr:colOff>795130</xdr:colOff>
      <xdr:row>4</xdr:row>
      <xdr:rowOff>330064</xdr:rowOff>
    </xdr:to>
    <xdr:sp macro="[0]!고급필터실행2" textlink="">
      <xdr:nvSpPr>
        <xdr:cNvPr id="2" name="사각형: 둥근 모서리 1">
          <a:extLst>
            <a:ext uri="{FF2B5EF4-FFF2-40B4-BE49-F238E27FC236}">
              <a16:creationId xmlns:a16="http://schemas.microsoft.com/office/drawing/2014/main" id="{9AE2366E-C56D-43E6-9691-607723758E92}"/>
            </a:ext>
          </a:extLst>
        </xdr:cNvPr>
        <xdr:cNvSpPr/>
      </xdr:nvSpPr>
      <xdr:spPr>
        <a:xfrm>
          <a:off x="6416951" y="215348"/>
          <a:ext cx="1451527" cy="330064"/>
        </a:xfrm>
        <a:prstGeom prst="roundRect">
          <a:avLst/>
        </a:prstGeom>
        <a:solidFill>
          <a:schemeClr val="accent5">
            <a:lumMod val="40000"/>
            <a:lumOff val="60000"/>
          </a:schemeClr>
        </a:solidFill>
        <a:ln w="38100">
          <a:solidFill>
            <a:schemeClr val="accent5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400" b="1">
              <a:solidFill>
                <a:schemeClr val="tx1"/>
              </a:solidFill>
              <a:latin typeface="나눔고딕" panose="020D0604000000000000" pitchFamily="50" charset="-127"/>
              <a:ea typeface="나눔고딕" panose="020D0604000000000000" pitchFamily="50" charset="-127"/>
            </a:rPr>
            <a:t>고급필터실행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885825</xdr:colOff>
      <xdr:row>4</xdr:row>
      <xdr:rowOff>238125</xdr:rowOff>
    </xdr:from>
    <xdr:to>
      <xdr:col>6</xdr:col>
      <xdr:colOff>209550</xdr:colOff>
      <xdr:row>22</xdr:row>
      <xdr:rowOff>161925</xdr:rowOff>
    </xdr:to>
    <xdr:pic>
      <xdr:nvPicPr>
        <xdr:cNvPr id="3" name="그림 2">
          <a:extLst>
            <a:ext uri="{FF2B5EF4-FFF2-40B4-BE49-F238E27FC236}">
              <a16:creationId xmlns:a16="http://schemas.microsoft.com/office/drawing/2014/main" id="{83C7F8A0-F752-47EE-8D84-A3DDED3EAEE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57275" y="1628775"/>
          <a:ext cx="12954000" cy="5867400"/>
        </a:xfrm>
        <a:prstGeom prst="rect">
          <a:avLst/>
        </a:prstGeom>
        <a:solidFill>
          <a:schemeClr val="bg1"/>
        </a:solidFill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457200</xdr:colOff>
      <xdr:row>12</xdr:row>
      <xdr:rowOff>38100</xdr:rowOff>
    </xdr:from>
    <xdr:to>
      <xdr:col>6</xdr:col>
      <xdr:colOff>682172</xdr:colOff>
      <xdr:row>15</xdr:row>
      <xdr:rowOff>178891</xdr:rowOff>
    </xdr:to>
    <xdr:sp macro="" textlink="">
      <xdr:nvSpPr>
        <xdr:cNvPr id="2" name="TextBox 5">
          <a:extLst>
            <a:ext uri="{FF2B5EF4-FFF2-40B4-BE49-F238E27FC236}">
              <a16:creationId xmlns:a16="http://schemas.microsoft.com/office/drawing/2014/main" id="{790ED6CC-9944-47EE-A88C-8A7D185A793A}"/>
            </a:ext>
          </a:extLst>
        </xdr:cNvPr>
        <xdr:cNvSpPr txBox="1"/>
      </xdr:nvSpPr>
      <xdr:spPr>
        <a:xfrm>
          <a:off x="1143000" y="3981450"/>
          <a:ext cx="4034972" cy="769441"/>
        </a:xfrm>
        <a:prstGeom prst="rect">
          <a:avLst/>
        </a:prstGeom>
        <a:solidFill>
          <a:schemeClr val="tx1">
            <a:lumMod val="65000"/>
            <a:lumOff val="35000"/>
          </a:schemeClr>
        </a:solidFill>
        <a:ln w="12700">
          <a:solidFill>
            <a:schemeClr val="tx1"/>
          </a:solidFill>
        </a:ln>
      </xdr:spPr>
      <xdr:txBody>
        <a:bodyPr wrap="square" rtlCol="0">
          <a:spAutoFit/>
        </a:bodyPr>
        <a:lstStyle>
          <a:defPPr>
            <a:defRPr lang="en-US"/>
          </a:defPPr>
          <a:lvl1pPr marL="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en-US" altLang="ko-KR" sz="4400" b="1">
              <a:solidFill>
                <a:schemeClr val="bg1"/>
              </a:solidFill>
              <a:latin typeface="나눔고딕 ExtraBold" panose="020D0904000000000000" pitchFamily="50" charset="-127"/>
              <a:ea typeface="나눔고딕 ExtraBold" panose="020D0904000000000000" pitchFamily="50" charset="-127"/>
            </a:rPr>
            <a:t>B2 : B 10 = L1</a:t>
          </a:r>
          <a:endParaRPr lang="ko-KR" altLang="en-US" sz="4400" b="1">
            <a:solidFill>
              <a:schemeClr val="bg1"/>
            </a:solidFill>
            <a:latin typeface="나눔고딕 ExtraBold" panose="020D0904000000000000" pitchFamily="50" charset="-127"/>
            <a:ea typeface="나눔고딕 ExtraBold" panose="020D0904000000000000" pitchFamily="50" charset="-127"/>
          </a:endParaRPr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User" refreshedDate="43997.074096412034" createdVersion="6" refreshedVersion="6" minRefreshableVersion="3" recordCount="80" xr:uid="{E7379909-38AC-487C-A34F-6316753FF1A6}">
  <cacheSource type="worksheet">
    <worksheetSource ref="B4:J84" sheet=" 56.Filter함수_최강함수 반열에 충분히 올라갈만한 함수.xlsm]자동필터"/>
  </cacheSource>
  <cacheFields count="9">
    <cacheField name="성명" numFmtId="0">
      <sharedItems count="76">
        <s v="강감찬"/>
        <s v="계백"/>
        <s v="곽재우"/>
        <s v="관창"/>
        <s v="광개토"/>
        <s v="권율"/>
        <s v="김대건"/>
        <s v="김두한"/>
        <s v="김부식"/>
        <s v="김삿갓"/>
        <s v="김옥균"/>
        <s v="김유신"/>
        <s v="김정호"/>
        <s v="논개"/>
        <s v="단군"/>
        <s v="단원"/>
        <s v="대조영"/>
        <s v="동명왕"/>
        <s v="맹사성"/>
        <s v="문무왕"/>
        <s v="문익점"/>
        <s v="박문수"/>
        <s v="박혁거세"/>
        <s v="방정환"/>
        <s v="백결"/>
        <s v="사육신"/>
        <s v="삼학사"/>
        <s v="생육신"/>
        <s v="서희"/>
        <s v="손병희"/>
        <s v="신사임당"/>
        <s v="신숙주"/>
        <s v="안중근"/>
        <s v="안창호"/>
        <s v="영조"/>
        <s v="오세재"/>
        <s v="온조왕"/>
        <s v="원효"/>
        <s v="유관순"/>
        <s v="윤동주"/>
        <s v="의자왕"/>
        <s v="의천"/>
        <s v="이담지"/>
        <s v="이사부"/>
        <s v="이상"/>
        <s v="이수일"/>
        <s v="이순신"/>
        <s v="이완이"/>
        <s v="이율곡"/>
        <s v="이인로"/>
        <s v="이중섭"/>
        <s v="이퇴계"/>
        <s v="일연"/>
        <s v="임꺽정"/>
        <s v="임춘"/>
        <s v="장보고"/>
        <s v="장영실"/>
        <s v="전봉준"/>
        <s v="정약용"/>
        <s v="정조"/>
        <s v="정중부"/>
        <s v="조통"/>
        <s v="지석영"/>
        <s v="최무선"/>
        <s v="최영"/>
        <s v="최충"/>
        <s v="태조"/>
        <s v="한석봉"/>
        <s v="함순"/>
        <s v="혜초"/>
        <s v="홍경래"/>
        <s v="홍길동"/>
        <s v="홍익한"/>
        <s v="황보항"/>
        <s v="황진이"/>
        <s v="황희"/>
      </sharedItems>
    </cacheField>
    <cacheField name="소속" numFmtId="0">
      <sharedItems count="10">
        <s v="구매팀"/>
        <s v="기획팀"/>
        <s v="생산관리팀"/>
        <s v="영업1팀"/>
        <s v="경영정보팀"/>
        <s v="영업2팀"/>
        <s v="개발팀"/>
        <s v="총무팀"/>
        <s v="운영팀"/>
        <s v="홍보팀"/>
      </sharedItems>
    </cacheField>
    <cacheField name="직위" numFmtId="0">
      <sharedItems count="5">
        <s v="사원"/>
        <s v="부장"/>
        <s v="대리"/>
        <s v="차장"/>
        <s v="과장"/>
      </sharedItems>
    </cacheField>
    <cacheField name="성별" numFmtId="0">
      <sharedItems count="2">
        <s v="남"/>
        <s v="여"/>
      </sharedItems>
    </cacheField>
    <cacheField name="입사일자" numFmtId="14">
      <sharedItems containsSemiMixedTypes="0" containsNonDate="0" containsDate="1" containsString="0" minDate="1996-01-19T00:00:00" maxDate="2017-08-05T00:00:00" count="75">
        <d v="2017-04-05T00:00:00"/>
        <d v="2011-01-20T00:00:00"/>
        <d v="2011-09-23T00:00:00"/>
        <d v="2015-09-22T00:00:00"/>
        <d v="1997-07-11T00:00:00"/>
        <d v="2008-09-17T00:00:00"/>
        <d v="2015-11-24T00:00:00"/>
        <d v="2015-01-05T00:00:00"/>
        <d v="1996-07-24T00:00:00"/>
        <d v="2002-06-14T00:00:00"/>
        <d v="2011-06-09T00:00:00"/>
        <d v="1997-12-22T00:00:00"/>
        <d v="2006-04-03T00:00:00"/>
        <d v="1998-07-21T00:00:00"/>
        <d v="1999-06-02T00:00:00"/>
        <d v="2011-11-22T00:00:00"/>
        <d v="2002-09-24T00:00:00"/>
        <d v="1996-01-19T00:00:00"/>
        <d v="1997-07-02T00:00:00"/>
        <d v="2001-04-12T00:00:00"/>
        <d v="2013-02-07T00:00:00"/>
        <d v="2013-01-04T00:00:00"/>
        <d v="2011-09-30T00:00:00"/>
        <d v="2006-09-20T00:00:00"/>
        <d v="2001-06-07T00:00:00"/>
        <d v="2013-10-21T00:00:00"/>
        <d v="2002-06-11T00:00:00"/>
        <d v="1996-06-19T00:00:00"/>
        <d v="2005-11-16T00:00:00"/>
        <d v="2011-10-10T00:00:00"/>
        <d v="2006-02-10T00:00:00"/>
        <d v="1996-07-11T00:00:00"/>
        <d v="2007-03-27T00:00:00"/>
        <d v="2002-03-20T00:00:00"/>
        <d v="2011-06-16T00:00:00"/>
        <d v="2011-09-02T00:00:00"/>
        <d v="2005-11-04T00:00:00"/>
        <d v="2006-06-23T00:00:00"/>
        <d v="1999-01-11T00:00:00"/>
        <d v="2007-03-16T00:00:00"/>
        <d v="2013-11-11T00:00:00"/>
        <d v="2009-09-24T00:00:00"/>
        <d v="1997-10-24T00:00:00"/>
        <d v="2011-12-06T00:00:00"/>
        <d v="2013-03-04T00:00:00"/>
        <d v="2011-05-20T00:00:00"/>
        <d v="2000-11-13T00:00:00"/>
        <d v="2002-01-29T00:00:00"/>
        <d v="2016-11-25T00:00:00"/>
        <d v="2016-10-24T00:00:00"/>
        <d v="2008-06-06T00:00:00"/>
        <d v="2010-03-03T00:00:00"/>
        <d v="2008-04-04T00:00:00"/>
        <d v="2011-08-10T00:00:00"/>
        <d v="2006-07-14T00:00:00"/>
        <d v="2001-09-18T00:00:00"/>
        <d v="2008-11-27T00:00:00"/>
        <d v="2010-01-22T00:00:00"/>
        <d v="2012-05-01T00:00:00"/>
        <d v="1999-04-05T00:00:00"/>
        <d v="1999-09-16T00:00:00"/>
        <d v="2006-05-10T00:00:00"/>
        <d v="2006-09-27T00:00:00"/>
        <d v="2012-09-05T00:00:00"/>
        <d v="2006-04-21T00:00:00"/>
        <d v="1999-10-08T00:00:00"/>
        <d v="1998-04-23T00:00:00"/>
        <d v="2014-05-06T00:00:00"/>
        <d v="2006-06-21T00:00:00"/>
        <d v="2014-08-22T00:00:00"/>
        <d v="2009-10-16T00:00:00"/>
        <d v="2014-10-02T00:00:00"/>
        <d v="2001-12-12T00:00:00"/>
        <d v="2017-08-04T00:00:00"/>
        <d v="2015-12-14T00:00:00"/>
      </sharedItems>
    </cacheField>
    <cacheField name="A고과" numFmtId="0">
      <sharedItems containsSemiMixedTypes="0" containsString="0" containsNumber="1" containsInteger="1" minValue="60" maxValue="100"/>
    </cacheField>
    <cacheField name="B고과" numFmtId="0">
      <sharedItems containsSemiMixedTypes="0" containsString="0" containsNumber="1" containsInteger="1" minValue="60" maxValue="99"/>
    </cacheField>
    <cacheField name="합계" numFmtId="0">
      <sharedItems containsSemiMixedTypes="0" containsString="0" containsNumber="1" containsInteger="1" minValue="125" maxValue="193"/>
    </cacheField>
    <cacheField name="평균" numFmtId="0">
      <sharedItems containsSemiMixedTypes="0" containsString="0" containsNumber="1" minValue="62.5" maxValue="96.5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80">
  <r>
    <x v="0"/>
    <x v="0"/>
    <x v="0"/>
    <x v="0"/>
    <x v="0"/>
    <n v="97"/>
    <n v="70"/>
    <n v="167"/>
    <n v="83.5"/>
  </r>
  <r>
    <x v="1"/>
    <x v="1"/>
    <x v="0"/>
    <x v="1"/>
    <x v="1"/>
    <n v="93"/>
    <n v="79"/>
    <n v="172"/>
    <n v="86"/>
  </r>
  <r>
    <x v="2"/>
    <x v="2"/>
    <x v="0"/>
    <x v="0"/>
    <x v="2"/>
    <n v="63"/>
    <n v="75"/>
    <n v="138"/>
    <n v="69"/>
  </r>
  <r>
    <x v="3"/>
    <x v="1"/>
    <x v="0"/>
    <x v="1"/>
    <x v="3"/>
    <n v="89"/>
    <n v="82"/>
    <n v="171"/>
    <n v="85.5"/>
  </r>
  <r>
    <x v="4"/>
    <x v="1"/>
    <x v="1"/>
    <x v="0"/>
    <x v="4"/>
    <n v="93"/>
    <n v="84"/>
    <n v="177"/>
    <n v="88.5"/>
  </r>
  <r>
    <x v="5"/>
    <x v="3"/>
    <x v="2"/>
    <x v="0"/>
    <x v="5"/>
    <n v="77"/>
    <n v="70"/>
    <n v="147"/>
    <n v="73.5"/>
  </r>
  <r>
    <x v="6"/>
    <x v="4"/>
    <x v="0"/>
    <x v="0"/>
    <x v="6"/>
    <n v="82"/>
    <n v="70"/>
    <n v="152"/>
    <n v="76"/>
  </r>
  <r>
    <x v="7"/>
    <x v="5"/>
    <x v="0"/>
    <x v="1"/>
    <x v="7"/>
    <n v="87"/>
    <n v="65"/>
    <n v="152"/>
    <n v="76"/>
  </r>
  <r>
    <x v="8"/>
    <x v="6"/>
    <x v="1"/>
    <x v="0"/>
    <x v="8"/>
    <n v="100"/>
    <n v="79"/>
    <n v="179"/>
    <n v="89.5"/>
  </r>
  <r>
    <x v="9"/>
    <x v="4"/>
    <x v="3"/>
    <x v="1"/>
    <x v="9"/>
    <n v="78"/>
    <n v="84"/>
    <n v="162"/>
    <n v="81"/>
  </r>
  <r>
    <x v="10"/>
    <x v="4"/>
    <x v="0"/>
    <x v="1"/>
    <x v="10"/>
    <n v="71"/>
    <n v="92"/>
    <n v="163"/>
    <n v="81.5"/>
  </r>
  <r>
    <x v="11"/>
    <x v="0"/>
    <x v="1"/>
    <x v="1"/>
    <x v="11"/>
    <n v="66"/>
    <n v="91"/>
    <n v="157"/>
    <n v="78.5"/>
  </r>
  <r>
    <x v="12"/>
    <x v="4"/>
    <x v="4"/>
    <x v="0"/>
    <x v="9"/>
    <n v="78"/>
    <n v="97"/>
    <n v="175"/>
    <n v="87.5"/>
  </r>
  <r>
    <x v="13"/>
    <x v="3"/>
    <x v="4"/>
    <x v="1"/>
    <x v="12"/>
    <n v="74"/>
    <n v="63"/>
    <n v="137"/>
    <n v="68.5"/>
  </r>
  <r>
    <x v="14"/>
    <x v="7"/>
    <x v="1"/>
    <x v="1"/>
    <x v="13"/>
    <n v="80"/>
    <n v="74"/>
    <n v="154"/>
    <n v="77"/>
  </r>
  <r>
    <x v="15"/>
    <x v="4"/>
    <x v="3"/>
    <x v="0"/>
    <x v="14"/>
    <n v="89"/>
    <n v="65"/>
    <n v="154"/>
    <n v="77"/>
  </r>
  <r>
    <x v="16"/>
    <x v="0"/>
    <x v="0"/>
    <x v="1"/>
    <x v="15"/>
    <n v="67"/>
    <n v="67"/>
    <n v="134"/>
    <n v="67"/>
  </r>
  <r>
    <x v="17"/>
    <x v="7"/>
    <x v="4"/>
    <x v="1"/>
    <x v="16"/>
    <n v="70"/>
    <n v="90"/>
    <n v="160"/>
    <n v="80"/>
  </r>
  <r>
    <x v="18"/>
    <x v="2"/>
    <x v="1"/>
    <x v="0"/>
    <x v="17"/>
    <n v="73"/>
    <n v="72"/>
    <n v="145"/>
    <n v="72.5"/>
  </r>
  <r>
    <x v="19"/>
    <x v="0"/>
    <x v="3"/>
    <x v="0"/>
    <x v="18"/>
    <n v="72"/>
    <n v="91"/>
    <n v="163"/>
    <n v="81.5"/>
  </r>
  <r>
    <x v="20"/>
    <x v="6"/>
    <x v="3"/>
    <x v="0"/>
    <x v="19"/>
    <n v="83"/>
    <n v="93"/>
    <n v="176"/>
    <n v="88"/>
  </r>
  <r>
    <x v="21"/>
    <x v="3"/>
    <x v="0"/>
    <x v="0"/>
    <x v="20"/>
    <n v="92"/>
    <n v="99"/>
    <n v="191"/>
    <n v="95.5"/>
  </r>
  <r>
    <x v="22"/>
    <x v="7"/>
    <x v="0"/>
    <x v="1"/>
    <x v="21"/>
    <n v="91"/>
    <n v="60"/>
    <n v="151"/>
    <n v="75.5"/>
  </r>
  <r>
    <x v="23"/>
    <x v="5"/>
    <x v="2"/>
    <x v="1"/>
    <x v="22"/>
    <n v="69"/>
    <n v="86"/>
    <n v="155"/>
    <n v="77.5"/>
  </r>
  <r>
    <x v="24"/>
    <x v="1"/>
    <x v="4"/>
    <x v="0"/>
    <x v="23"/>
    <n v="87"/>
    <n v="92"/>
    <n v="179"/>
    <n v="89.5"/>
  </r>
  <r>
    <x v="25"/>
    <x v="3"/>
    <x v="3"/>
    <x v="1"/>
    <x v="24"/>
    <n v="92"/>
    <n v="91"/>
    <n v="183"/>
    <n v="91.5"/>
  </r>
  <r>
    <x v="26"/>
    <x v="3"/>
    <x v="0"/>
    <x v="0"/>
    <x v="25"/>
    <n v="78"/>
    <n v="78"/>
    <n v="156"/>
    <n v="78"/>
  </r>
  <r>
    <x v="27"/>
    <x v="3"/>
    <x v="4"/>
    <x v="0"/>
    <x v="26"/>
    <n v="81"/>
    <n v="78"/>
    <n v="159"/>
    <n v="79.5"/>
  </r>
  <r>
    <x v="28"/>
    <x v="8"/>
    <x v="1"/>
    <x v="1"/>
    <x v="27"/>
    <n v="88"/>
    <n v="92"/>
    <n v="180"/>
    <n v="90"/>
  </r>
  <r>
    <x v="29"/>
    <x v="5"/>
    <x v="4"/>
    <x v="0"/>
    <x v="28"/>
    <n v="75"/>
    <n v="70"/>
    <n v="145"/>
    <n v="72.5"/>
  </r>
  <r>
    <x v="30"/>
    <x v="2"/>
    <x v="2"/>
    <x v="0"/>
    <x v="29"/>
    <n v="94"/>
    <n v="84"/>
    <n v="178"/>
    <n v="89"/>
  </r>
  <r>
    <x v="31"/>
    <x v="2"/>
    <x v="4"/>
    <x v="1"/>
    <x v="30"/>
    <n v="67"/>
    <n v="74"/>
    <n v="141"/>
    <n v="70.5"/>
  </r>
  <r>
    <x v="32"/>
    <x v="5"/>
    <x v="1"/>
    <x v="0"/>
    <x v="31"/>
    <n v="73"/>
    <n v="99"/>
    <n v="172"/>
    <n v="86"/>
  </r>
  <r>
    <x v="33"/>
    <x v="5"/>
    <x v="2"/>
    <x v="1"/>
    <x v="32"/>
    <n v="87"/>
    <n v="87"/>
    <n v="174"/>
    <n v="87"/>
  </r>
  <r>
    <x v="34"/>
    <x v="4"/>
    <x v="4"/>
    <x v="0"/>
    <x v="33"/>
    <n v="91"/>
    <n v="77"/>
    <n v="168"/>
    <n v="84"/>
  </r>
  <r>
    <x v="35"/>
    <x v="8"/>
    <x v="0"/>
    <x v="0"/>
    <x v="34"/>
    <n v="66"/>
    <n v="71"/>
    <n v="137"/>
    <n v="68.5"/>
  </r>
  <r>
    <x v="36"/>
    <x v="7"/>
    <x v="2"/>
    <x v="1"/>
    <x v="35"/>
    <n v="67"/>
    <n v="60"/>
    <n v="127"/>
    <n v="63.5"/>
  </r>
  <r>
    <x v="37"/>
    <x v="0"/>
    <x v="4"/>
    <x v="0"/>
    <x v="36"/>
    <n v="88"/>
    <n v="74"/>
    <n v="162"/>
    <n v="81"/>
  </r>
  <r>
    <x v="38"/>
    <x v="5"/>
    <x v="2"/>
    <x v="0"/>
    <x v="37"/>
    <n v="92"/>
    <n v="94"/>
    <n v="186"/>
    <n v="93"/>
  </r>
  <r>
    <x v="39"/>
    <x v="5"/>
    <x v="3"/>
    <x v="0"/>
    <x v="38"/>
    <n v="84"/>
    <n v="94"/>
    <n v="178"/>
    <n v="89"/>
  </r>
  <r>
    <x v="40"/>
    <x v="1"/>
    <x v="2"/>
    <x v="0"/>
    <x v="39"/>
    <n v="84"/>
    <n v="62"/>
    <n v="146"/>
    <n v="73"/>
  </r>
  <r>
    <x v="41"/>
    <x v="5"/>
    <x v="0"/>
    <x v="0"/>
    <x v="40"/>
    <n v="68"/>
    <n v="73"/>
    <n v="141"/>
    <n v="70.5"/>
  </r>
  <r>
    <x v="42"/>
    <x v="9"/>
    <x v="2"/>
    <x v="1"/>
    <x v="41"/>
    <n v="63"/>
    <n v="62"/>
    <n v="125"/>
    <n v="62.5"/>
  </r>
  <r>
    <x v="43"/>
    <x v="1"/>
    <x v="3"/>
    <x v="1"/>
    <x v="42"/>
    <n v="88"/>
    <n v="85"/>
    <n v="173"/>
    <n v="86.5"/>
  </r>
  <r>
    <x v="44"/>
    <x v="5"/>
    <x v="0"/>
    <x v="0"/>
    <x v="43"/>
    <n v="62"/>
    <n v="95"/>
    <n v="157"/>
    <n v="78.5"/>
  </r>
  <r>
    <x v="45"/>
    <x v="5"/>
    <x v="0"/>
    <x v="1"/>
    <x v="44"/>
    <n v="95"/>
    <n v="72"/>
    <n v="167"/>
    <n v="83.5"/>
  </r>
  <r>
    <x v="46"/>
    <x v="2"/>
    <x v="0"/>
    <x v="0"/>
    <x v="45"/>
    <n v="93"/>
    <n v="69"/>
    <n v="162"/>
    <n v="81"/>
  </r>
  <r>
    <x v="47"/>
    <x v="5"/>
    <x v="3"/>
    <x v="0"/>
    <x v="46"/>
    <n v="79"/>
    <n v="71"/>
    <n v="150"/>
    <n v="75"/>
  </r>
  <r>
    <x v="48"/>
    <x v="2"/>
    <x v="4"/>
    <x v="0"/>
    <x v="47"/>
    <n v="69"/>
    <n v="88"/>
    <n v="157"/>
    <n v="78.5"/>
  </r>
  <r>
    <x v="49"/>
    <x v="8"/>
    <x v="0"/>
    <x v="1"/>
    <x v="48"/>
    <n v="95"/>
    <n v="83"/>
    <n v="178"/>
    <n v="89"/>
  </r>
  <r>
    <x v="50"/>
    <x v="5"/>
    <x v="0"/>
    <x v="1"/>
    <x v="49"/>
    <n v="64"/>
    <n v="87"/>
    <n v="151"/>
    <n v="75.5"/>
  </r>
  <r>
    <x v="51"/>
    <x v="2"/>
    <x v="2"/>
    <x v="0"/>
    <x v="50"/>
    <n v="93"/>
    <n v="64"/>
    <n v="157"/>
    <n v="78.5"/>
  </r>
  <r>
    <x v="52"/>
    <x v="6"/>
    <x v="2"/>
    <x v="0"/>
    <x v="51"/>
    <n v="67"/>
    <n v="73"/>
    <n v="140"/>
    <n v="70"/>
  </r>
  <r>
    <x v="53"/>
    <x v="3"/>
    <x v="2"/>
    <x v="0"/>
    <x v="52"/>
    <n v="73"/>
    <n v="60"/>
    <n v="133"/>
    <n v="66.5"/>
  </r>
  <r>
    <x v="54"/>
    <x v="8"/>
    <x v="2"/>
    <x v="0"/>
    <x v="53"/>
    <n v="60"/>
    <n v="75"/>
    <n v="135"/>
    <n v="67.5"/>
  </r>
  <r>
    <x v="55"/>
    <x v="0"/>
    <x v="2"/>
    <x v="0"/>
    <x v="54"/>
    <n v="85"/>
    <n v="94"/>
    <n v="179"/>
    <n v="89.5"/>
  </r>
  <r>
    <x v="56"/>
    <x v="2"/>
    <x v="3"/>
    <x v="0"/>
    <x v="55"/>
    <n v="97"/>
    <n v="83"/>
    <n v="180"/>
    <n v="90"/>
  </r>
  <r>
    <x v="57"/>
    <x v="4"/>
    <x v="2"/>
    <x v="0"/>
    <x v="56"/>
    <n v="91"/>
    <n v="84"/>
    <n v="175"/>
    <n v="87.5"/>
  </r>
  <r>
    <x v="58"/>
    <x v="4"/>
    <x v="2"/>
    <x v="0"/>
    <x v="57"/>
    <n v="75"/>
    <n v="75"/>
    <n v="150"/>
    <n v="75"/>
  </r>
  <r>
    <x v="59"/>
    <x v="4"/>
    <x v="2"/>
    <x v="0"/>
    <x v="58"/>
    <n v="80"/>
    <n v="79"/>
    <n v="159"/>
    <n v="79.5"/>
  </r>
  <r>
    <x v="60"/>
    <x v="8"/>
    <x v="3"/>
    <x v="1"/>
    <x v="59"/>
    <n v="87"/>
    <n v="97"/>
    <n v="184"/>
    <n v="92"/>
  </r>
  <r>
    <x v="61"/>
    <x v="9"/>
    <x v="1"/>
    <x v="0"/>
    <x v="60"/>
    <n v="61"/>
    <n v="71"/>
    <n v="132"/>
    <n v="66"/>
  </r>
  <r>
    <x v="62"/>
    <x v="5"/>
    <x v="4"/>
    <x v="0"/>
    <x v="61"/>
    <n v="99"/>
    <n v="75"/>
    <n v="174"/>
    <n v="87"/>
  </r>
  <r>
    <x v="63"/>
    <x v="8"/>
    <x v="4"/>
    <x v="1"/>
    <x v="62"/>
    <n v="75"/>
    <n v="61"/>
    <n v="136"/>
    <n v="68"/>
  </r>
  <r>
    <x v="64"/>
    <x v="6"/>
    <x v="0"/>
    <x v="1"/>
    <x v="63"/>
    <n v="77"/>
    <n v="63"/>
    <n v="140"/>
    <n v="70"/>
  </r>
  <r>
    <x v="65"/>
    <x v="6"/>
    <x v="4"/>
    <x v="0"/>
    <x v="64"/>
    <n v="60"/>
    <n v="86"/>
    <n v="146"/>
    <n v="73"/>
  </r>
  <r>
    <x v="66"/>
    <x v="3"/>
    <x v="1"/>
    <x v="0"/>
    <x v="65"/>
    <n v="97"/>
    <n v="94"/>
    <n v="191"/>
    <n v="95.5"/>
  </r>
  <r>
    <x v="67"/>
    <x v="4"/>
    <x v="1"/>
    <x v="0"/>
    <x v="66"/>
    <n v="75"/>
    <n v="90"/>
    <n v="165"/>
    <n v="82.5"/>
  </r>
  <r>
    <x v="68"/>
    <x v="9"/>
    <x v="0"/>
    <x v="0"/>
    <x v="67"/>
    <n v="81"/>
    <n v="65"/>
    <n v="146"/>
    <n v="73"/>
  </r>
  <r>
    <x v="69"/>
    <x v="0"/>
    <x v="2"/>
    <x v="0"/>
    <x v="68"/>
    <n v="62"/>
    <n v="70"/>
    <n v="132"/>
    <n v="66"/>
  </r>
  <r>
    <x v="70"/>
    <x v="4"/>
    <x v="0"/>
    <x v="0"/>
    <x v="69"/>
    <n v="76"/>
    <n v="89"/>
    <n v="165"/>
    <n v="82.5"/>
  </r>
  <r>
    <x v="71"/>
    <x v="3"/>
    <x v="2"/>
    <x v="0"/>
    <x v="70"/>
    <n v="62"/>
    <n v="67"/>
    <n v="129"/>
    <n v="64.5"/>
  </r>
  <r>
    <x v="72"/>
    <x v="3"/>
    <x v="0"/>
    <x v="0"/>
    <x v="71"/>
    <n v="99"/>
    <n v="90"/>
    <n v="189"/>
    <n v="94.5"/>
  </r>
  <r>
    <x v="73"/>
    <x v="9"/>
    <x v="4"/>
    <x v="0"/>
    <x v="72"/>
    <n v="60"/>
    <n v="94"/>
    <n v="154"/>
    <n v="77"/>
  </r>
  <r>
    <x v="74"/>
    <x v="4"/>
    <x v="0"/>
    <x v="0"/>
    <x v="73"/>
    <n v="97"/>
    <n v="88"/>
    <n v="185"/>
    <n v="92.5"/>
  </r>
  <r>
    <x v="75"/>
    <x v="6"/>
    <x v="0"/>
    <x v="1"/>
    <x v="74"/>
    <n v="96"/>
    <n v="97"/>
    <n v="193"/>
    <n v="96.5"/>
  </r>
  <r>
    <x v="72"/>
    <x v="3"/>
    <x v="0"/>
    <x v="0"/>
    <x v="71"/>
    <n v="99"/>
    <n v="90"/>
    <n v="189"/>
    <n v="94.5"/>
  </r>
  <r>
    <x v="73"/>
    <x v="9"/>
    <x v="4"/>
    <x v="0"/>
    <x v="72"/>
    <n v="60"/>
    <n v="94"/>
    <n v="154"/>
    <n v="77"/>
  </r>
  <r>
    <x v="74"/>
    <x v="4"/>
    <x v="0"/>
    <x v="0"/>
    <x v="73"/>
    <n v="72"/>
    <n v="88"/>
    <n v="160"/>
    <n v="80"/>
  </r>
  <r>
    <x v="75"/>
    <x v="6"/>
    <x v="0"/>
    <x v="1"/>
    <x v="74"/>
    <n v="80"/>
    <n v="97"/>
    <n v="177"/>
    <n v="88.5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1A682B2-FC69-4467-861B-11BC3BAA9911}" name="피벗 테이블4" cacheId="0" applyNumberFormats="0" applyBorderFormats="0" applyFontFormats="0" applyPatternFormats="0" applyAlignmentFormats="0" applyWidthHeightFormats="1" dataCaption="값" updatedVersion="6" minRefreshableVersion="3" useAutoFormatting="1" itemPrintTitles="1" createdVersion="6" indent="0" outline="1" outlineData="1" multipleFieldFilters="0">
  <location ref="B89:D100" firstHeaderRow="0" firstDataRow="1" firstDataCol="1"/>
  <pivotFields count="9">
    <pivotField showAll="0"/>
    <pivotField axis="axisRow" showAll="0">
      <items count="11">
        <item x="6"/>
        <item x="4"/>
        <item x="0"/>
        <item x="1"/>
        <item x="2"/>
        <item x="3"/>
        <item x="5"/>
        <item x="8"/>
        <item x="7"/>
        <item x="9"/>
        <item t="default"/>
      </items>
    </pivotField>
    <pivotField showAll="0"/>
    <pivotField showAll="0"/>
    <pivotField numFmtId="14" showAll="0"/>
    <pivotField dataField="1" showAll="0"/>
    <pivotField showAll="0"/>
    <pivotField showAll="0"/>
    <pivotField showAll="0"/>
  </pivotFields>
  <rowFields count="1">
    <field x="1"/>
  </rowFields>
  <rowItems count="1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 t="grand">
      <x/>
    </i>
  </rowItems>
  <colFields count="1">
    <field x="-2"/>
  </colFields>
  <colItems count="2">
    <i>
      <x/>
    </i>
    <i i="1">
      <x v="1"/>
    </i>
  </colItems>
  <dataFields count="2">
    <dataField name="합계 : A고과" fld="5" baseField="0" baseItem="0"/>
    <dataField name="평균 : A고과2" fld="5" subtotal="average" baseField="1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872D972-E23D-4472-82AA-05CB53DED9DA}" name="피벗 테이블1" cacheId="0" applyNumberFormats="0" applyBorderFormats="0" applyFontFormats="0" applyPatternFormats="0" applyAlignmentFormats="0" applyWidthHeightFormats="1" dataCaption="값" updatedVersion="6" minRefreshableVersion="3" useAutoFormatting="1" itemPrintTitles="1" createdVersion="6" indent="0" compact="0" compactData="0" multipleFieldFilters="0">
  <location ref="B4:I12" firstHeaderRow="0" firstDataRow="1" firstDataCol="4" rowPageCount="1" colPageCount="1"/>
  <pivotFields count="9">
    <pivotField axis="axisRow" compact="0" outline="0" showAll="0" defaultSubtotal="0">
      <items count="76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</items>
    </pivotField>
    <pivotField axis="axisPage" compact="0" outline="0" showAll="0" defaultSubtotal="0">
      <items count="10">
        <item x="6"/>
        <item x="4"/>
        <item x="0"/>
        <item x="1"/>
        <item x="2"/>
        <item x="3"/>
        <item x="5"/>
        <item x="8"/>
        <item x="7"/>
        <item x="9"/>
      </items>
    </pivotField>
    <pivotField axis="axisRow" compact="0" outline="0" showAll="0" defaultSubtotal="0">
      <items count="5">
        <item x="4"/>
        <item x="2"/>
        <item x="1"/>
        <item x="0"/>
        <item x="3"/>
      </items>
    </pivotField>
    <pivotField axis="axisRow" compact="0" outline="0" showAll="0" defaultSubtotal="0">
      <items count="2">
        <item x="0"/>
        <item x="1"/>
      </items>
    </pivotField>
    <pivotField axis="axisRow" compact="0" numFmtId="14" outline="0" showAll="0" defaultSubtotal="0">
      <items count="75">
        <item x="17"/>
        <item x="27"/>
        <item x="31"/>
        <item x="8"/>
        <item x="18"/>
        <item x="4"/>
        <item x="42"/>
        <item x="11"/>
        <item x="66"/>
        <item x="13"/>
        <item x="38"/>
        <item x="59"/>
        <item x="14"/>
        <item x="60"/>
        <item x="65"/>
        <item x="46"/>
        <item x="19"/>
        <item x="24"/>
        <item x="55"/>
        <item x="72"/>
        <item x="47"/>
        <item x="33"/>
        <item x="26"/>
        <item x="9"/>
        <item x="16"/>
        <item x="36"/>
        <item x="28"/>
        <item x="30"/>
        <item x="12"/>
        <item x="64"/>
        <item x="61"/>
        <item x="68"/>
        <item x="37"/>
        <item x="54"/>
        <item x="23"/>
        <item x="62"/>
        <item x="39"/>
        <item x="32"/>
        <item x="52"/>
        <item x="50"/>
        <item x="5"/>
        <item x="56"/>
        <item x="41"/>
        <item x="70"/>
        <item x="57"/>
        <item x="51"/>
        <item x="1"/>
        <item x="45"/>
        <item x="10"/>
        <item x="34"/>
        <item x="53"/>
        <item x="35"/>
        <item x="2"/>
        <item x="22"/>
        <item x="29"/>
        <item x="15"/>
        <item x="43"/>
        <item x="58"/>
        <item x="63"/>
        <item x="21"/>
        <item x="20"/>
        <item x="44"/>
        <item x="25"/>
        <item x="40"/>
        <item x="67"/>
        <item x="69"/>
        <item x="71"/>
        <item x="7"/>
        <item x="3"/>
        <item x="6"/>
        <item x="74"/>
        <item x="49"/>
        <item x="48"/>
        <item x="0"/>
        <item x="73"/>
      </items>
    </pivotField>
    <pivotField dataField="1" compact="0" outline="0" showAll="0" defaultSubtotal="0"/>
    <pivotField dataField="1" compact="0" outline="0" showAll="0" defaultSubtotal="0"/>
    <pivotField dataField="1" compact="0" outline="0" showAll="0" defaultSubtotal="0"/>
    <pivotField dataField="1" compact="0" outline="0" showAll="0" defaultSubtotal="0"/>
  </pivotFields>
  <rowFields count="4">
    <field x="0"/>
    <field x="2"/>
    <field x="3"/>
    <field x="4"/>
  </rowFields>
  <rowItems count="8">
    <i>
      <x/>
      <x v="3"/>
      <x/>
      <x v="73"/>
    </i>
    <i>
      <x v="11"/>
      <x v="2"/>
      <x v="1"/>
      <x v="7"/>
    </i>
    <i>
      <x v="16"/>
      <x v="3"/>
      <x v="1"/>
      <x v="55"/>
    </i>
    <i>
      <x v="19"/>
      <x v="4"/>
      <x/>
      <x v="4"/>
    </i>
    <i>
      <x v="37"/>
      <x/>
      <x/>
      <x v="25"/>
    </i>
    <i>
      <x v="55"/>
      <x v="1"/>
      <x/>
      <x v="33"/>
    </i>
    <i>
      <x v="69"/>
      <x v="1"/>
      <x/>
      <x v="31"/>
    </i>
    <i t="grand">
      <x/>
    </i>
  </rowItems>
  <colFields count="1">
    <field x="-2"/>
  </colFields>
  <colItems count="4">
    <i>
      <x/>
    </i>
    <i i="1">
      <x v="1"/>
    </i>
    <i i="2">
      <x v="2"/>
    </i>
    <i i="3">
      <x v="3"/>
    </i>
  </colItems>
  <pageFields count="1">
    <pageField fld="1" item="2" hier="-1"/>
  </pageFields>
  <dataFields count="4">
    <dataField name="A고과 " fld="5" baseField="0" baseItem="0"/>
    <dataField name="B고과 " fld="6" baseField="1" baseItem="0"/>
    <dataField name="합계 " fld="7" baseField="0" baseItem="0"/>
    <dataField name="평균 " fld="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A36811F0-A79E-4C01-BEA4-CF7780DBA28F}" name="표2" displayName="표2" ref="B4:J85" totalsRowShown="0" headerRowDxfId="10" dataDxfId="9">
  <autoFilter ref="B4:J85" xr:uid="{75873D5D-6DD2-4BD1-A71A-A9DF1B4E3E9B}"/>
  <tableColumns count="9">
    <tableColumn id="1" xr3:uid="{317DE8BA-43DB-48ED-A340-7C8B9455FED0}" name="성명" dataDxfId="8"/>
    <tableColumn id="2" xr3:uid="{DFAB3117-39E5-4D6F-9430-AC045A019FBF}" name="소속" dataDxfId="7"/>
    <tableColumn id="3" xr3:uid="{36860C60-5D0A-4A61-8DF0-F6D772BFE916}" name="직위" dataDxfId="6"/>
    <tableColumn id="4" xr3:uid="{BF7213BF-55C6-4632-AC35-C500FF58A91D}" name="성별" dataDxfId="5"/>
    <tableColumn id="5" xr3:uid="{1C87A098-5C34-4488-9C76-C7D8BB06BE41}" name="입사일자" dataDxfId="4"/>
    <tableColumn id="6" xr3:uid="{DBE488A3-4847-48FD-BB20-EC1CE36DAE4C}" name="A고과" dataDxfId="3"/>
    <tableColumn id="7" xr3:uid="{2D73513B-E572-4844-97AC-D974C0ECCF6F}" name="B고과" dataDxfId="2"/>
    <tableColumn id="8" xr3:uid="{8CDF9227-552D-4567-A496-43EFA89ABD03}" name="합계" dataDxfId="1"/>
    <tableColumn id="9" xr3:uid="{44CC7C96-39B5-4A65-9EC3-1A4DD310F5BD}" name="평균" dataDxfId="0"/>
  </tableColumns>
  <tableStyleInfo name="TableStyleLight13" showFirstColumn="0" showLastColumn="0" showRowStripes="1" showColumnStripes="0"/>
</table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2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12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13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B28821-5BAA-4A35-8759-D774840461EC}">
  <sheetPr codeName="Sheet10">
    <tabColor rgb="FFFFFF00"/>
  </sheetPr>
  <dimension ref="B1:T100"/>
  <sheetViews>
    <sheetView topLeftCell="A73" zoomScale="115" zoomScaleNormal="115" workbookViewId="0">
      <selection activeCell="W93" sqref="W93:X95"/>
    </sheetView>
  </sheetViews>
  <sheetFormatPr defaultRowHeight="16.5" x14ac:dyDescent="0.3"/>
  <cols>
    <col min="1" max="1" width="1.625" customWidth="1"/>
    <col min="2" max="2" width="11.875" bestFit="1" customWidth="1"/>
    <col min="3" max="3" width="12.625" bestFit="1" customWidth="1"/>
    <col min="4" max="4" width="13.875" bestFit="1" customWidth="1"/>
    <col min="5" max="5" width="9.5" bestFit="1" customWidth="1"/>
    <col min="6" max="6" width="13.25" bestFit="1" customWidth="1"/>
    <col min="7" max="7" width="10.875" bestFit="1" customWidth="1"/>
    <col min="8" max="8" width="6.75" bestFit="1" customWidth="1"/>
    <col min="9" max="10" width="5.5" bestFit="1" customWidth="1"/>
    <col min="11" max="11" width="4.25" customWidth="1"/>
    <col min="12" max="12" width="11.875" bestFit="1" customWidth="1"/>
    <col min="13" max="13" width="12.625" bestFit="1" customWidth="1"/>
    <col min="14" max="14" width="13.875" bestFit="1" customWidth="1"/>
    <col min="16" max="16" width="11.125" bestFit="1" customWidth="1"/>
  </cols>
  <sheetData>
    <row r="1" spans="2:20" ht="7.5" customHeight="1" thickBot="1" x14ac:dyDescent="0.35"/>
    <row r="2" spans="2:20" ht="33" customHeight="1" thickTop="1" thickBot="1" x14ac:dyDescent="0.35">
      <c r="B2" s="8" t="s">
        <v>102</v>
      </c>
      <c r="C2" s="9"/>
      <c r="D2" s="9"/>
      <c r="E2" s="9"/>
      <c r="F2" s="9"/>
      <c r="G2" s="9"/>
      <c r="H2" s="9"/>
      <c r="I2" s="9"/>
      <c r="J2" s="9"/>
      <c r="L2" s="10" t="s">
        <v>1</v>
      </c>
      <c r="M2" s="11" t="s">
        <v>10</v>
      </c>
    </row>
    <row r="3" spans="2:20" ht="7.5" customHeight="1" thickTop="1" x14ac:dyDescent="0.3"/>
    <row r="4" spans="2:20" x14ac:dyDescent="0.3">
      <c r="B4" s="5" t="s">
        <v>273</v>
      </c>
      <c r="C4" s="6" t="s">
        <v>1</v>
      </c>
      <c r="D4" s="6" t="s">
        <v>2</v>
      </c>
      <c r="E4" s="6" t="s">
        <v>3</v>
      </c>
      <c r="F4" s="6" t="s">
        <v>4</v>
      </c>
      <c r="G4" s="6" t="s">
        <v>5</v>
      </c>
      <c r="H4" s="6" t="s">
        <v>6</v>
      </c>
      <c r="I4" s="6" t="s">
        <v>7</v>
      </c>
      <c r="J4" s="7" t="s">
        <v>8</v>
      </c>
      <c r="L4" s="5" t="s">
        <v>0</v>
      </c>
      <c r="M4" s="6" t="s">
        <v>1</v>
      </c>
      <c r="N4" s="6" t="s">
        <v>2</v>
      </c>
      <c r="O4" s="6" t="s">
        <v>3</v>
      </c>
      <c r="P4" s="6" t="s">
        <v>4</v>
      </c>
      <c r="Q4" s="6" t="s">
        <v>5</v>
      </c>
      <c r="R4" s="6" t="s">
        <v>6</v>
      </c>
      <c r="S4" s="6" t="s">
        <v>7</v>
      </c>
      <c r="T4" s="7" t="s">
        <v>8</v>
      </c>
    </row>
    <row r="5" spans="2:20" x14ac:dyDescent="0.3">
      <c r="B5" s="57" t="s">
        <v>9</v>
      </c>
      <c r="C5" s="57" t="s">
        <v>10</v>
      </c>
      <c r="D5" s="57" t="s">
        <v>11</v>
      </c>
      <c r="E5" s="57" t="s">
        <v>12</v>
      </c>
      <c r="F5" s="58">
        <v>42830</v>
      </c>
      <c r="G5" s="57">
        <v>97</v>
      </c>
      <c r="H5" s="57">
        <v>70</v>
      </c>
      <c r="I5" s="57">
        <v>167</v>
      </c>
      <c r="J5" s="57">
        <v>83.5</v>
      </c>
      <c r="L5" s="3" t="s">
        <v>9</v>
      </c>
      <c r="M5" s="3" t="s">
        <v>10</v>
      </c>
      <c r="N5" s="3" t="s">
        <v>11</v>
      </c>
      <c r="O5" s="3" t="s">
        <v>12</v>
      </c>
      <c r="P5" s="12">
        <v>42830</v>
      </c>
      <c r="Q5" s="3">
        <v>97</v>
      </c>
      <c r="R5" s="3">
        <v>70</v>
      </c>
      <c r="S5" s="3">
        <v>167</v>
      </c>
      <c r="T5" s="3">
        <v>83.5</v>
      </c>
    </row>
    <row r="6" spans="2:20" x14ac:dyDescent="0.3">
      <c r="B6" s="57" t="s">
        <v>13</v>
      </c>
      <c r="C6" s="57" t="s">
        <v>14</v>
      </c>
      <c r="D6" s="57" t="s">
        <v>11</v>
      </c>
      <c r="E6" s="57" t="s">
        <v>15</v>
      </c>
      <c r="F6" s="58">
        <v>40563</v>
      </c>
      <c r="G6" s="57">
        <v>93</v>
      </c>
      <c r="H6" s="57">
        <v>79</v>
      </c>
      <c r="I6" s="57">
        <v>172</v>
      </c>
      <c r="J6" s="57">
        <v>86</v>
      </c>
      <c r="L6" s="3" t="s">
        <v>33</v>
      </c>
      <c r="M6" s="3" t="s">
        <v>10</v>
      </c>
      <c r="N6" s="3" t="s">
        <v>20</v>
      </c>
      <c r="O6" s="3" t="s">
        <v>15</v>
      </c>
      <c r="P6" s="12">
        <v>35786</v>
      </c>
      <c r="Q6" s="3">
        <v>66</v>
      </c>
      <c r="R6" s="3">
        <v>91</v>
      </c>
      <c r="S6" s="3">
        <v>157</v>
      </c>
      <c r="T6" s="3">
        <v>78.5</v>
      </c>
    </row>
    <row r="7" spans="2:20" x14ac:dyDescent="0.3">
      <c r="B7" s="57" t="s">
        <v>16</v>
      </c>
      <c r="C7" s="57" t="s">
        <v>17</v>
      </c>
      <c r="D7" s="57" t="s">
        <v>11</v>
      </c>
      <c r="E7" s="57" t="s">
        <v>12</v>
      </c>
      <c r="F7" s="58">
        <v>40809</v>
      </c>
      <c r="G7" s="57">
        <v>63</v>
      </c>
      <c r="H7" s="57">
        <v>75</v>
      </c>
      <c r="I7" s="57">
        <v>138</v>
      </c>
      <c r="J7" s="57">
        <v>69</v>
      </c>
      <c r="L7" s="3" t="s">
        <v>40</v>
      </c>
      <c r="M7" s="3" t="s">
        <v>10</v>
      </c>
      <c r="N7" s="3" t="s">
        <v>11</v>
      </c>
      <c r="O7" s="3" t="s">
        <v>15</v>
      </c>
      <c r="P7" s="12">
        <v>40869</v>
      </c>
      <c r="Q7" s="3">
        <v>67</v>
      </c>
      <c r="R7" s="3">
        <v>67</v>
      </c>
      <c r="S7" s="3">
        <v>134</v>
      </c>
      <c r="T7" s="3">
        <v>67</v>
      </c>
    </row>
    <row r="8" spans="2:20" x14ac:dyDescent="0.3">
      <c r="B8" s="57" t="s">
        <v>18</v>
      </c>
      <c r="C8" s="57" t="s">
        <v>14</v>
      </c>
      <c r="D8" s="57" t="s">
        <v>11</v>
      </c>
      <c r="E8" s="57" t="s">
        <v>15</v>
      </c>
      <c r="F8" s="58">
        <v>42269</v>
      </c>
      <c r="G8" s="57">
        <v>89</v>
      </c>
      <c r="H8" s="57">
        <v>82</v>
      </c>
      <c r="I8" s="57">
        <v>171</v>
      </c>
      <c r="J8" s="57">
        <v>85.5</v>
      </c>
      <c r="L8" s="3" t="s">
        <v>43</v>
      </c>
      <c r="M8" s="3" t="s">
        <v>10</v>
      </c>
      <c r="N8" s="3" t="s">
        <v>31</v>
      </c>
      <c r="O8" s="3" t="s">
        <v>12</v>
      </c>
      <c r="P8" s="12">
        <v>35613</v>
      </c>
      <c r="Q8" s="3">
        <v>72</v>
      </c>
      <c r="R8" s="3">
        <v>91</v>
      </c>
      <c r="S8" s="3">
        <v>163</v>
      </c>
      <c r="T8" s="3">
        <v>81.5</v>
      </c>
    </row>
    <row r="9" spans="2:20" x14ac:dyDescent="0.3">
      <c r="B9" s="57" t="s">
        <v>19</v>
      </c>
      <c r="C9" s="57" t="s">
        <v>14</v>
      </c>
      <c r="D9" s="57" t="s">
        <v>20</v>
      </c>
      <c r="E9" s="57" t="s">
        <v>12</v>
      </c>
      <c r="F9" s="58">
        <v>35622</v>
      </c>
      <c r="G9" s="57">
        <v>93</v>
      </c>
      <c r="H9" s="57">
        <v>84</v>
      </c>
      <c r="I9" s="57">
        <v>177</v>
      </c>
      <c r="J9" s="57">
        <v>88.5</v>
      </c>
      <c r="L9" s="3" t="s">
        <v>62</v>
      </c>
      <c r="M9" s="3" t="s">
        <v>10</v>
      </c>
      <c r="N9" s="3" t="s">
        <v>35</v>
      </c>
      <c r="O9" s="3" t="s">
        <v>12</v>
      </c>
      <c r="P9" s="12">
        <v>38660</v>
      </c>
      <c r="Q9" s="3">
        <v>88</v>
      </c>
      <c r="R9" s="3">
        <v>74</v>
      </c>
      <c r="S9" s="3">
        <v>162</v>
      </c>
      <c r="T9" s="3">
        <v>81</v>
      </c>
    </row>
    <row r="10" spans="2:20" x14ac:dyDescent="0.3">
      <c r="B10" s="57" t="s">
        <v>21</v>
      </c>
      <c r="C10" s="57" t="s">
        <v>22</v>
      </c>
      <c r="D10" s="57" t="s">
        <v>23</v>
      </c>
      <c r="E10" s="57" t="s">
        <v>12</v>
      </c>
      <c r="F10" s="58">
        <v>39708</v>
      </c>
      <c r="G10" s="57">
        <v>77</v>
      </c>
      <c r="H10" s="57">
        <v>70</v>
      </c>
      <c r="I10" s="57">
        <v>147</v>
      </c>
      <c r="J10" s="57">
        <v>73.5</v>
      </c>
      <c r="L10" s="3" t="s">
        <v>81</v>
      </c>
      <c r="M10" s="3" t="s">
        <v>10</v>
      </c>
      <c r="N10" s="3" t="s">
        <v>23</v>
      </c>
      <c r="O10" s="3" t="s">
        <v>12</v>
      </c>
      <c r="P10" s="12">
        <v>38912</v>
      </c>
      <c r="Q10" s="3">
        <v>85</v>
      </c>
      <c r="R10" s="3">
        <v>94</v>
      </c>
      <c r="S10" s="3">
        <v>179</v>
      </c>
      <c r="T10" s="3">
        <v>89.5</v>
      </c>
    </row>
    <row r="11" spans="2:20" x14ac:dyDescent="0.3">
      <c r="B11" s="3" t="s">
        <v>24</v>
      </c>
      <c r="C11" s="3" t="s">
        <v>25</v>
      </c>
      <c r="D11" s="3" t="s">
        <v>11</v>
      </c>
      <c r="E11" s="3" t="s">
        <v>12</v>
      </c>
      <c r="F11" s="12">
        <v>42332</v>
      </c>
      <c r="G11" s="3">
        <v>82</v>
      </c>
      <c r="H11" s="3">
        <v>70</v>
      </c>
      <c r="I11" s="3">
        <v>152</v>
      </c>
      <c r="J11" s="3">
        <v>76</v>
      </c>
      <c r="L11" s="3" t="s">
        <v>95</v>
      </c>
      <c r="M11" s="3" t="s">
        <v>10</v>
      </c>
      <c r="N11" s="3" t="s">
        <v>23</v>
      </c>
      <c r="O11" s="3" t="s">
        <v>12</v>
      </c>
      <c r="P11" s="12">
        <v>38889</v>
      </c>
      <c r="Q11" s="3">
        <v>62</v>
      </c>
      <c r="R11" s="3">
        <v>70</v>
      </c>
      <c r="S11" s="3">
        <v>132</v>
      </c>
      <c r="T11" s="3">
        <v>66</v>
      </c>
    </row>
    <row r="12" spans="2:20" x14ac:dyDescent="0.3">
      <c r="B12" s="3" t="s">
        <v>26</v>
      </c>
      <c r="C12" s="3" t="s">
        <v>27</v>
      </c>
      <c r="D12" s="3" t="s">
        <v>11</v>
      </c>
      <c r="E12" s="3" t="s">
        <v>15</v>
      </c>
      <c r="F12" s="12">
        <v>42009</v>
      </c>
      <c r="G12" s="3">
        <v>87</v>
      </c>
      <c r="H12" s="3">
        <v>65</v>
      </c>
      <c r="I12" s="3">
        <v>152</v>
      </c>
      <c r="J12" s="3">
        <v>76</v>
      </c>
    </row>
    <row r="13" spans="2:20" x14ac:dyDescent="0.3">
      <c r="B13" s="3" t="s">
        <v>28</v>
      </c>
      <c r="C13" s="3" t="s">
        <v>29</v>
      </c>
      <c r="D13" s="3" t="s">
        <v>20</v>
      </c>
      <c r="E13" s="3" t="s">
        <v>12</v>
      </c>
      <c r="F13" s="12">
        <v>35270</v>
      </c>
      <c r="G13" s="3">
        <v>100</v>
      </c>
      <c r="H13" s="3">
        <v>79</v>
      </c>
      <c r="I13" s="3">
        <v>179</v>
      </c>
      <c r="J13" s="3">
        <v>89.5</v>
      </c>
    </row>
    <row r="14" spans="2:20" x14ac:dyDescent="0.3">
      <c r="B14" s="3" t="s">
        <v>30</v>
      </c>
      <c r="C14" s="3" t="s">
        <v>25</v>
      </c>
      <c r="D14" s="3" t="s">
        <v>31</v>
      </c>
      <c r="E14" s="3" t="s">
        <v>15</v>
      </c>
      <c r="F14" s="12">
        <v>37421</v>
      </c>
      <c r="G14" s="3">
        <v>78</v>
      </c>
      <c r="H14" s="3">
        <v>84</v>
      </c>
      <c r="I14" s="3">
        <v>162</v>
      </c>
      <c r="J14" s="3">
        <v>81</v>
      </c>
    </row>
    <row r="15" spans="2:20" x14ac:dyDescent="0.3">
      <c r="B15" s="3" t="s">
        <v>32</v>
      </c>
      <c r="C15" s="3" t="s">
        <v>25</v>
      </c>
      <c r="D15" s="3" t="s">
        <v>11</v>
      </c>
      <c r="E15" s="3" t="s">
        <v>15</v>
      </c>
      <c r="F15" s="12">
        <v>40703</v>
      </c>
      <c r="G15" s="3">
        <v>71</v>
      </c>
      <c r="H15" s="3">
        <v>92</v>
      </c>
      <c r="I15" s="3">
        <v>163</v>
      </c>
      <c r="J15" s="3">
        <v>81.5</v>
      </c>
    </row>
    <row r="16" spans="2:20" x14ac:dyDescent="0.3">
      <c r="B16" s="3" t="s">
        <v>33</v>
      </c>
      <c r="C16" s="3" t="s">
        <v>10</v>
      </c>
      <c r="D16" s="3" t="s">
        <v>20</v>
      </c>
      <c r="E16" s="3" t="s">
        <v>15</v>
      </c>
      <c r="F16" s="12">
        <v>35786</v>
      </c>
      <c r="G16" s="3">
        <v>66</v>
      </c>
      <c r="H16" s="3">
        <v>91</v>
      </c>
      <c r="I16" s="3">
        <v>157</v>
      </c>
      <c r="J16" s="3">
        <v>78.5</v>
      </c>
    </row>
    <row r="17" spans="2:10" x14ac:dyDescent="0.3">
      <c r="B17" s="3" t="s">
        <v>34</v>
      </c>
      <c r="C17" s="3" t="s">
        <v>25</v>
      </c>
      <c r="D17" s="3" t="s">
        <v>35</v>
      </c>
      <c r="E17" s="3" t="s">
        <v>12</v>
      </c>
      <c r="F17" s="12">
        <v>37421</v>
      </c>
      <c r="G17" s="3">
        <v>78</v>
      </c>
      <c r="H17" s="3">
        <v>97</v>
      </c>
      <c r="I17" s="3">
        <v>175</v>
      </c>
      <c r="J17" s="3">
        <v>87.5</v>
      </c>
    </row>
    <row r="18" spans="2:10" x14ac:dyDescent="0.3">
      <c r="B18" s="3" t="s">
        <v>36</v>
      </c>
      <c r="C18" s="3" t="s">
        <v>22</v>
      </c>
      <c r="D18" s="3" t="s">
        <v>35</v>
      </c>
      <c r="E18" s="3" t="s">
        <v>15</v>
      </c>
      <c r="F18" s="12">
        <v>38810</v>
      </c>
      <c r="G18" s="3">
        <v>74</v>
      </c>
      <c r="H18" s="3">
        <v>63</v>
      </c>
      <c r="I18" s="3">
        <v>137</v>
      </c>
      <c r="J18" s="3">
        <v>68.5</v>
      </c>
    </row>
    <row r="19" spans="2:10" x14ac:dyDescent="0.3">
      <c r="B19" s="3" t="s">
        <v>37</v>
      </c>
      <c r="C19" s="3" t="s">
        <v>38</v>
      </c>
      <c r="D19" s="3" t="s">
        <v>20</v>
      </c>
      <c r="E19" s="3" t="s">
        <v>15</v>
      </c>
      <c r="F19" s="12">
        <v>35997</v>
      </c>
      <c r="G19" s="3">
        <v>80</v>
      </c>
      <c r="H19" s="3">
        <v>74</v>
      </c>
      <c r="I19" s="3">
        <v>154</v>
      </c>
      <c r="J19" s="3">
        <v>77</v>
      </c>
    </row>
    <row r="20" spans="2:10" x14ac:dyDescent="0.3">
      <c r="B20" s="3" t="s">
        <v>39</v>
      </c>
      <c r="C20" s="3" t="s">
        <v>25</v>
      </c>
      <c r="D20" s="3" t="s">
        <v>31</v>
      </c>
      <c r="E20" s="3" t="s">
        <v>12</v>
      </c>
      <c r="F20" s="12">
        <v>36313</v>
      </c>
      <c r="G20" s="3">
        <v>89</v>
      </c>
      <c r="H20" s="3">
        <v>65</v>
      </c>
      <c r="I20" s="3">
        <v>154</v>
      </c>
      <c r="J20" s="3">
        <v>77</v>
      </c>
    </row>
    <row r="21" spans="2:10" x14ac:dyDescent="0.3">
      <c r="B21" s="3" t="s">
        <v>40</v>
      </c>
      <c r="C21" s="3" t="s">
        <v>10</v>
      </c>
      <c r="D21" s="3" t="s">
        <v>11</v>
      </c>
      <c r="E21" s="3" t="s">
        <v>15</v>
      </c>
      <c r="F21" s="12">
        <v>40869</v>
      </c>
      <c r="G21" s="3">
        <v>67</v>
      </c>
      <c r="H21" s="3">
        <v>67</v>
      </c>
      <c r="I21" s="3">
        <v>134</v>
      </c>
      <c r="J21" s="3">
        <v>67</v>
      </c>
    </row>
    <row r="22" spans="2:10" x14ac:dyDescent="0.3">
      <c r="B22" s="3" t="s">
        <v>41</v>
      </c>
      <c r="C22" s="3" t="s">
        <v>38</v>
      </c>
      <c r="D22" s="3" t="s">
        <v>35</v>
      </c>
      <c r="E22" s="3" t="s">
        <v>15</v>
      </c>
      <c r="F22" s="12">
        <v>37523</v>
      </c>
      <c r="G22" s="3">
        <v>70</v>
      </c>
      <c r="H22" s="3">
        <v>90</v>
      </c>
      <c r="I22" s="3">
        <v>160</v>
      </c>
      <c r="J22" s="3">
        <v>80</v>
      </c>
    </row>
    <row r="23" spans="2:10" x14ac:dyDescent="0.3">
      <c r="B23" s="3" t="s">
        <v>42</v>
      </c>
      <c r="C23" s="3" t="s">
        <v>17</v>
      </c>
      <c r="D23" s="3" t="s">
        <v>20</v>
      </c>
      <c r="E23" s="3" t="s">
        <v>12</v>
      </c>
      <c r="F23" s="12">
        <v>35083</v>
      </c>
      <c r="G23" s="3">
        <v>73</v>
      </c>
      <c r="H23" s="3">
        <v>72</v>
      </c>
      <c r="I23" s="3">
        <v>145</v>
      </c>
      <c r="J23" s="3">
        <v>72.5</v>
      </c>
    </row>
    <row r="24" spans="2:10" x14ac:dyDescent="0.3">
      <c r="B24" s="3" t="s">
        <v>43</v>
      </c>
      <c r="C24" s="3" t="s">
        <v>10</v>
      </c>
      <c r="D24" s="3" t="s">
        <v>31</v>
      </c>
      <c r="E24" s="3" t="s">
        <v>12</v>
      </c>
      <c r="F24" s="12">
        <v>35613</v>
      </c>
      <c r="G24" s="3">
        <v>72</v>
      </c>
      <c r="H24" s="3">
        <v>91</v>
      </c>
      <c r="I24" s="3">
        <v>163</v>
      </c>
      <c r="J24" s="3">
        <v>81.5</v>
      </c>
    </row>
    <row r="25" spans="2:10" x14ac:dyDescent="0.3">
      <c r="B25" s="3" t="s">
        <v>44</v>
      </c>
      <c r="C25" s="3" t="s">
        <v>29</v>
      </c>
      <c r="D25" s="3" t="s">
        <v>31</v>
      </c>
      <c r="E25" s="3" t="s">
        <v>12</v>
      </c>
      <c r="F25" s="12">
        <v>36993</v>
      </c>
      <c r="G25" s="3">
        <v>83</v>
      </c>
      <c r="H25" s="3">
        <v>93</v>
      </c>
      <c r="I25" s="3">
        <v>176</v>
      </c>
      <c r="J25" s="3">
        <v>88</v>
      </c>
    </row>
    <row r="26" spans="2:10" x14ac:dyDescent="0.3">
      <c r="B26" s="3" t="s">
        <v>45</v>
      </c>
      <c r="C26" s="3" t="s">
        <v>22</v>
      </c>
      <c r="D26" s="3" t="s">
        <v>11</v>
      </c>
      <c r="E26" s="3" t="s">
        <v>12</v>
      </c>
      <c r="F26" s="12">
        <v>41312</v>
      </c>
      <c r="G26" s="3">
        <v>92</v>
      </c>
      <c r="H26" s="3">
        <v>99</v>
      </c>
      <c r="I26" s="3">
        <v>191</v>
      </c>
      <c r="J26" s="3">
        <v>95.5</v>
      </c>
    </row>
    <row r="27" spans="2:10" x14ac:dyDescent="0.3">
      <c r="B27" s="3" t="s">
        <v>46</v>
      </c>
      <c r="C27" s="3" t="s">
        <v>38</v>
      </c>
      <c r="D27" s="3" t="s">
        <v>11</v>
      </c>
      <c r="E27" s="3" t="s">
        <v>15</v>
      </c>
      <c r="F27" s="12">
        <v>41278</v>
      </c>
      <c r="G27" s="3">
        <v>91</v>
      </c>
      <c r="H27" s="3">
        <v>60</v>
      </c>
      <c r="I27" s="3">
        <v>151</v>
      </c>
      <c r="J27" s="3">
        <v>75.5</v>
      </c>
    </row>
    <row r="28" spans="2:10" x14ac:dyDescent="0.3">
      <c r="B28" s="3" t="s">
        <v>47</v>
      </c>
      <c r="C28" s="3" t="s">
        <v>27</v>
      </c>
      <c r="D28" s="3" t="s">
        <v>23</v>
      </c>
      <c r="E28" s="3" t="s">
        <v>15</v>
      </c>
      <c r="F28" s="12">
        <v>40816</v>
      </c>
      <c r="G28" s="3">
        <v>69</v>
      </c>
      <c r="H28" s="3">
        <v>86</v>
      </c>
      <c r="I28" s="3">
        <v>155</v>
      </c>
      <c r="J28" s="3">
        <v>77.5</v>
      </c>
    </row>
    <row r="29" spans="2:10" x14ac:dyDescent="0.3">
      <c r="B29" s="3" t="s">
        <v>48</v>
      </c>
      <c r="C29" s="3" t="s">
        <v>14</v>
      </c>
      <c r="D29" s="3" t="s">
        <v>35</v>
      </c>
      <c r="E29" s="3" t="s">
        <v>12</v>
      </c>
      <c r="F29" s="12">
        <v>38980</v>
      </c>
      <c r="G29" s="3">
        <v>87</v>
      </c>
      <c r="H29" s="3">
        <v>92</v>
      </c>
      <c r="I29" s="3">
        <v>179</v>
      </c>
      <c r="J29" s="3">
        <v>89.5</v>
      </c>
    </row>
    <row r="30" spans="2:10" x14ac:dyDescent="0.3">
      <c r="B30" s="3" t="s">
        <v>49</v>
      </c>
      <c r="C30" s="3" t="s">
        <v>22</v>
      </c>
      <c r="D30" s="3" t="s">
        <v>31</v>
      </c>
      <c r="E30" s="3" t="s">
        <v>15</v>
      </c>
      <c r="F30" s="12">
        <v>37049</v>
      </c>
      <c r="G30" s="3">
        <v>92</v>
      </c>
      <c r="H30" s="3">
        <v>91</v>
      </c>
      <c r="I30" s="3">
        <v>183</v>
      </c>
      <c r="J30" s="3">
        <v>91.5</v>
      </c>
    </row>
    <row r="31" spans="2:10" x14ac:dyDescent="0.3">
      <c r="B31" s="3" t="s">
        <v>50</v>
      </c>
      <c r="C31" s="3" t="s">
        <v>22</v>
      </c>
      <c r="D31" s="3" t="s">
        <v>11</v>
      </c>
      <c r="E31" s="3" t="s">
        <v>12</v>
      </c>
      <c r="F31" s="12">
        <v>41568</v>
      </c>
      <c r="G31" s="3">
        <v>78</v>
      </c>
      <c r="H31" s="3">
        <v>78</v>
      </c>
      <c r="I31" s="3">
        <v>156</v>
      </c>
      <c r="J31" s="3">
        <v>78</v>
      </c>
    </row>
    <row r="32" spans="2:10" x14ac:dyDescent="0.3">
      <c r="B32" s="3" t="s">
        <v>51</v>
      </c>
      <c r="C32" s="3" t="s">
        <v>22</v>
      </c>
      <c r="D32" s="3" t="s">
        <v>35</v>
      </c>
      <c r="E32" s="3" t="s">
        <v>12</v>
      </c>
      <c r="F32" s="12">
        <v>37418</v>
      </c>
      <c r="G32" s="3">
        <v>81</v>
      </c>
      <c r="H32" s="3">
        <v>78</v>
      </c>
      <c r="I32" s="3">
        <v>159</v>
      </c>
      <c r="J32" s="3">
        <v>79.5</v>
      </c>
    </row>
    <row r="33" spans="2:10" x14ac:dyDescent="0.3">
      <c r="B33" s="3" t="s">
        <v>52</v>
      </c>
      <c r="C33" s="3" t="s">
        <v>53</v>
      </c>
      <c r="D33" s="3" t="s">
        <v>20</v>
      </c>
      <c r="E33" s="3" t="s">
        <v>15</v>
      </c>
      <c r="F33" s="12">
        <v>35235</v>
      </c>
      <c r="G33" s="3">
        <v>88</v>
      </c>
      <c r="H33" s="3">
        <v>92</v>
      </c>
      <c r="I33" s="3">
        <v>180</v>
      </c>
      <c r="J33" s="3">
        <v>90</v>
      </c>
    </row>
    <row r="34" spans="2:10" x14ac:dyDescent="0.3">
      <c r="B34" s="3" t="s">
        <v>54</v>
      </c>
      <c r="C34" s="3" t="s">
        <v>27</v>
      </c>
      <c r="D34" s="3" t="s">
        <v>35</v>
      </c>
      <c r="E34" s="3" t="s">
        <v>12</v>
      </c>
      <c r="F34" s="12">
        <v>38672</v>
      </c>
      <c r="G34" s="3">
        <v>75</v>
      </c>
      <c r="H34" s="3">
        <v>70</v>
      </c>
      <c r="I34" s="3">
        <v>145</v>
      </c>
      <c r="J34" s="3">
        <v>72.5</v>
      </c>
    </row>
    <row r="35" spans="2:10" x14ac:dyDescent="0.3">
      <c r="B35" s="3" t="s">
        <v>55</v>
      </c>
      <c r="C35" s="3" t="s">
        <v>17</v>
      </c>
      <c r="D35" s="3" t="s">
        <v>23</v>
      </c>
      <c r="E35" s="3" t="s">
        <v>12</v>
      </c>
      <c r="F35" s="12">
        <v>40826</v>
      </c>
      <c r="G35" s="3">
        <v>94</v>
      </c>
      <c r="H35" s="3">
        <v>84</v>
      </c>
      <c r="I35" s="3">
        <v>178</v>
      </c>
      <c r="J35" s="3">
        <v>89</v>
      </c>
    </row>
    <row r="36" spans="2:10" x14ac:dyDescent="0.3">
      <c r="B36" s="3" t="s">
        <v>56</v>
      </c>
      <c r="C36" s="3" t="s">
        <v>17</v>
      </c>
      <c r="D36" s="3" t="s">
        <v>35</v>
      </c>
      <c r="E36" s="3" t="s">
        <v>15</v>
      </c>
      <c r="F36" s="12">
        <v>38758</v>
      </c>
      <c r="G36" s="3">
        <v>67</v>
      </c>
      <c r="H36" s="3">
        <v>74</v>
      </c>
      <c r="I36" s="3">
        <v>141</v>
      </c>
      <c r="J36" s="3">
        <v>70.5</v>
      </c>
    </row>
    <row r="37" spans="2:10" x14ac:dyDescent="0.3">
      <c r="B37" s="3" t="s">
        <v>57</v>
      </c>
      <c r="C37" s="3" t="s">
        <v>27</v>
      </c>
      <c r="D37" s="3" t="s">
        <v>20</v>
      </c>
      <c r="E37" s="3" t="s">
        <v>12</v>
      </c>
      <c r="F37" s="12">
        <v>35257</v>
      </c>
      <c r="G37" s="3">
        <v>73</v>
      </c>
      <c r="H37" s="3">
        <v>99</v>
      </c>
      <c r="I37" s="3">
        <v>172</v>
      </c>
      <c r="J37" s="3">
        <v>86</v>
      </c>
    </row>
    <row r="38" spans="2:10" x14ac:dyDescent="0.3">
      <c r="B38" s="3" t="s">
        <v>58</v>
      </c>
      <c r="C38" s="3" t="s">
        <v>27</v>
      </c>
      <c r="D38" s="3" t="s">
        <v>23</v>
      </c>
      <c r="E38" s="3" t="s">
        <v>15</v>
      </c>
      <c r="F38" s="12">
        <v>39168</v>
      </c>
      <c r="G38" s="3">
        <v>87</v>
      </c>
      <c r="H38" s="3">
        <v>87</v>
      </c>
      <c r="I38" s="3">
        <v>174</v>
      </c>
      <c r="J38" s="3">
        <v>87</v>
      </c>
    </row>
    <row r="39" spans="2:10" x14ac:dyDescent="0.3">
      <c r="B39" s="3" t="s">
        <v>59</v>
      </c>
      <c r="C39" s="3" t="s">
        <v>25</v>
      </c>
      <c r="D39" s="3" t="s">
        <v>35</v>
      </c>
      <c r="E39" s="3" t="s">
        <v>12</v>
      </c>
      <c r="F39" s="12">
        <v>37335</v>
      </c>
      <c r="G39" s="3">
        <v>91</v>
      </c>
      <c r="H39" s="3">
        <v>77</v>
      </c>
      <c r="I39" s="3">
        <v>168</v>
      </c>
      <c r="J39" s="3">
        <v>84</v>
      </c>
    </row>
    <row r="40" spans="2:10" x14ac:dyDescent="0.3">
      <c r="B40" s="3" t="s">
        <v>60</v>
      </c>
      <c r="C40" s="3" t="s">
        <v>53</v>
      </c>
      <c r="D40" s="3" t="s">
        <v>11</v>
      </c>
      <c r="E40" s="3" t="s">
        <v>12</v>
      </c>
      <c r="F40" s="12">
        <v>40710</v>
      </c>
      <c r="G40" s="3">
        <v>66</v>
      </c>
      <c r="H40" s="3">
        <v>71</v>
      </c>
      <c r="I40" s="3">
        <v>137</v>
      </c>
      <c r="J40" s="3">
        <v>68.5</v>
      </c>
    </row>
    <row r="41" spans="2:10" x14ac:dyDescent="0.3">
      <c r="B41" s="3" t="s">
        <v>61</v>
      </c>
      <c r="C41" s="3" t="s">
        <v>38</v>
      </c>
      <c r="D41" s="3" t="s">
        <v>23</v>
      </c>
      <c r="E41" s="3" t="s">
        <v>15</v>
      </c>
      <c r="F41" s="12">
        <v>40788</v>
      </c>
      <c r="G41" s="3">
        <v>67</v>
      </c>
      <c r="H41" s="3">
        <v>60</v>
      </c>
      <c r="I41" s="3">
        <v>127</v>
      </c>
      <c r="J41" s="3">
        <v>63.5</v>
      </c>
    </row>
    <row r="42" spans="2:10" x14ac:dyDescent="0.3">
      <c r="B42" s="3" t="s">
        <v>62</v>
      </c>
      <c r="C42" s="3" t="s">
        <v>10</v>
      </c>
      <c r="D42" s="3" t="s">
        <v>35</v>
      </c>
      <c r="E42" s="3" t="s">
        <v>12</v>
      </c>
      <c r="F42" s="12">
        <v>38660</v>
      </c>
      <c r="G42" s="3">
        <v>88</v>
      </c>
      <c r="H42" s="3">
        <v>74</v>
      </c>
      <c r="I42" s="3">
        <v>162</v>
      </c>
      <c r="J42" s="3">
        <v>81</v>
      </c>
    </row>
    <row r="43" spans="2:10" x14ac:dyDescent="0.3">
      <c r="B43" s="3" t="s">
        <v>63</v>
      </c>
      <c r="C43" s="3" t="s">
        <v>27</v>
      </c>
      <c r="D43" s="3" t="s">
        <v>23</v>
      </c>
      <c r="E43" s="3" t="s">
        <v>12</v>
      </c>
      <c r="F43" s="12">
        <v>38891</v>
      </c>
      <c r="G43" s="3">
        <v>92</v>
      </c>
      <c r="H43" s="3">
        <v>94</v>
      </c>
      <c r="I43" s="3">
        <v>186</v>
      </c>
      <c r="J43" s="3">
        <v>93</v>
      </c>
    </row>
    <row r="44" spans="2:10" x14ac:dyDescent="0.3">
      <c r="B44" s="3" t="s">
        <v>64</v>
      </c>
      <c r="C44" s="3" t="s">
        <v>27</v>
      </c>
      <c r="D44" s="3" t="s">
        <v>31</v>
      </c>
      <c r="E44" s="3" t="s">
        <v>12</v>
      </c>
      <c r="F44" s="12">
        <v>36171</v>
      </c>
      <c r="G44" s="3">
        <v>84</v>
      </c>
      <c r="H44" s="3">
        <v>94</v>
      </c>
      <c r="I44" s="3">
        <v>178</v>
      </c>
      <c r="J44" s="3">
        <v>89</v>
      </c>
    </row>
    <row r="45" spans="2:10" x14ac:dyDescent="0.3">
      <c r="B45" s="3" t="s">
        <v>65</v>
      </c>
      <c r="C45" s="3" t="s">
        <v>14</v>
      </c>
      <c r="D45" s="3" t="s">
        <v>23</v>
      </c>
      <c r="E45" s="3" t="s">
        <v>12</v>
      </c>
      <c r="F45" s="12">
        <v>39157</v>
      </c>
      <c r="G45" s="3">
        <v>84</v>
      </c>
      <c r="H45" s="3">
        <v>62</v>
      </c>
      <c r="I45" s="3">
        <v>146</v>
      </c>
      <c r="J45" s="3">
        <v>73</v>
      </c>
    </row>
    <row r="46" spans="2:10" x14ac:dyDescent="0.3">
      <c r="B46" s="3" t="s">
        <v>66</v>
      </c>
      <c r="C46" s="3" t="s">
        <v>27</v>
      </c>
      <c r="D46" s="3" t="s">
        <v>11</v>
      </c>
      <c r="E46" s="3" t="s">
        <v>12</v>
      </c>
      <c r="F46" s="12">
        <v>41589</v>
      </c>
      <c r="G46" s="3">
        <v>68</v>
      </c>
      <c r="H46" s="3">
        <v>73</v>
      </c>
      <c r="I46" s="3">
        <v>141</v>
      </c>
      <c r="J46" s="3">
        <v>70.5</v>
      </c>
    </row>
    <row r="47" spans="2:10" x14ac:dyDescent="0.3">
      <c r="B47" s="3" t="s">
        <v>67</v>
      </c>
      <c r="C47" s="3" t="s">
        <v>68</v>
      </c>
      <c r="D47" s="3" t="s">
        <v>23</v>
      </c>
      <c r="E47" s="3" t="s">
        <v>15</v>
      </c>
      <c r="F47" s="12">
        <v>40080</v>
      </c>
      <c r="G47" s="3">
        <v>63</v>
      </c>
      <c r="H47" s="3">
        <v>62</v>
      </c>
      <c r="I47" s="3">
        <v>125</v>
      </c>
      <c r="J47" s="3">
        <v>62.5</v>
      </c>
    </row>
    <row r="48" spans="2:10" x14ac:dyDescent="0.3">
      <c r="B48" s="3" t="s">
        <v>69</v>
      </c>
      <c r="C48" s="3" t="s">
        <v>14</v>
      </c>
      <c r="D48" s="3" t="s">
        <v>31</v>
      </c>
      <c r="E48" s="3" t="s">
        <v>15</v>
      </c>
      <c r="F48" s="12">
        <v>35727</v>
      </c>
      <c r="G48" s="3">
        <v>88</v>
      </c>
      <c r="H48" s="3">
        <v>85</v>
      </c>
      <c r="I48" s="3">
        <v>173</v>
      </c>
      <c r="J48" s="3">
        <v>86.5</v>
      </c>
    </row>
    <row r="49" spans="2:10" x14ac:dyDescent="0.3">
      <c r="B49" s="3" t="s">
        <v>70</v>
      </c>
      <c r="C49" s="3" t="s">
        <v>27</v>
      </c>
      <c r="D49" s="3" t="s">
        <v>11</v>
      </c>
      <c r="E49" s="3" t="s">
        <v>12</v>
      </c>
      <c r="F49" s="12">
        <v>40883</v>
      </c>
      <c r="G49" s="3">
        <v>62</v>
      </c>
      <c r="H49" s="3">
        <v>95</v>
      </c>
      <c r="I49" s="3">
        <v>157</v>
      </c>
      <c r="J49" s="3">
        <v>78.5</v>
      </c>
    </row>
    <row r="50" spans="2:10" x14ac:dyDescent="0.3">
      <c r="B50" s="3" t="s">
        <v>71</v>
      </c>
      <c r="C50" s="3" t="s">
        <v>27</v>
      </c>
      <c r="D50" s="3" t="s">
        <v>11</v>
      </c>
      <c r="E50" s="3" t="s">
        <v>15</v>
      </c>
      <c r="F50" s="12">
        <v>41337</v>
      </c>
      <c r="G50" s="3">
        <v>95</v>
      </c>
      <c r="H50" s="3">
        <v>72</v>
      </c>
      <c r="I50" s="3">
        <v>167</v>
      </c>
      <c r="J50" s="3">
        <v>83.5</v>
      </c>
    </row>
    <row r="51" spans="2:10" x14ac:dyDescent="0.3">
      <c r="B51" s="3" t="s">
        <v>72</v>
      </c>
      <c r="C51" s="3" t="s">
        <v>17</v>
      </c>
      <c r="D51" s="3" t="s">
        <v>11</v>
      </c>
      <c r="E51" s="3" t="s">
        <v>12</v>
      </c>
      <c r="F51" s="12">
        <v>40683</v>
      </c>
      <c r="G51" s="3">
        <v>93</v>
      </c>
      <c r="H51" s="3">
        <v>69</v>
      </c>
      <c r="I51" s="3">
        <v>162</v>
      </c>
      <c r="J51" s="3">
        <v>81</v>
      </c>
    </row>
    <row r="52" spans="2:10" x14ac:dyDescent="0.3">
      <c r="B52" s="3" t="s">
        <v>73</v>
      </c>
      <c r="C52" s="3" t="s">
        <v>27</v>
      </c>
      <c r="D52" s="3" t="s">
        <v>31</v>
      </c>
      <c r="E52" s="3" t="s">
        <v>12</v>
      </c>
      <c r="F52" s="12">
        <v>36843</v>
      </c>
      <c r="G52" s="3">
        <v>79</v>
      </c>
      <c r="H52" s="3">
        <v>71</v>
      </c>
      <c r="I52" s="3">
        <v>150</v>
      </c>
      <c r="J52" s="3">
        <v>75</v>
      </c>
    </row>
    <row r="53" spans="2:10" x14ac:dyDescent="0.3">
      <c r="B53" s="3" t="s">
        <v>74</v>
      </c>
      <c r="C53" s="3" t="s">
        <v>17</v>
      </c>
      <c r="D53" s="3" t="s">
        <v>35</v>
      </c>
      <c r="E53" s="3" t="s">
        <v>12</v>
      </c>
      <c r="F53" s="12">
        <v>37285</v>
      </c>
      <c r="G53" s="3">
        <v>69</v>
      </c>
      <c r="H53" s="3">
        <v>88</v>
      </c>
      <c r="I53" s="3">
        <v>157</v>
      </c>
      <c r="J53" s="3">
        <v>78.5</v>
      </c>
    </row>
    <row r="54" spans="2:10" x14ac:dyDescent="0.3">
      <c r="B54" s="3" t="s">
        <v>75</v>
      </c>
      <c r="C54" s="3" t="s">
        <v>53</v>
      </c>
      <c r="D54" s="3" t="s">
        <v>11</v>
      </c>
      <c r="E54" s="3" t="s">
        <v>15</v>
      </c>
      <c r="F54" s="12">
        <v>42699</v>
      </c>
      <c r="G54" s="3">
        <v>95</v>
      </c>
      <c r="H54" s="3">
        <v>83</v>
      </c>
      <c r="I54" s="3">
        <v>178</v>
      </c>
      <c r="J54" s="3">
        <v>89</v>
      </c>
    </row>
    <row r="55" spans="2:10" x14ac:dyDescent="0.3">
      <c r="B55" s="3" t="s">
        <v>76</v>
      </c>
      <c r="C55" s="3" t="s">
        <v>27</v>
      </c>
      <c r="D55" s="3" t="s">
        <v>11</v>
      </c>
      <c r="E55" s="3" t="s">
        <v>15</v>
      </c>
      <c r="F55" s="12">
        <v>42667</v>
      </c>
      <c r="G55" s="3">
        <v>64</v>
      </c>
      <c r="H55" s="3">
        <v>87</v>
      </c>
      <c r="I55" s="3">
        <v>151</v>
      </c>
      <c r="J55" s="3">
        <v>75.5</v>
      </c>
    </row>
    <row r="56" spans="2:10" x14ac:dyDescent="0.3">
      <c r="B56" s="3" t="s">
        <v>77</v>
      </c>
      <c r="C56" s="3" t="s">
        <v>17</v>
      </c>
      <c r="D56" s="3" t="s">
        <v>23</v>
      </c>
      <c r="E56" s="3" t="s">
        <v>12</v>
      </c>
      <c r="F56" s="12">
        <v>39605</v>
      </c>
      <c r="G56" s="3">
        <v>93</v>
      </c>
      <c r="H56" s="3">
        <v>64</v>
      </c>
      <c r="I56" s="3">
        <v>157</v>
      </c>
      <c r="J56" s="3">
        <v>78.5</v>
      </c>
    </row>
    <row r="57" spans="2:10" x14ac:dyDescent="0.3">
      <c r="B57" s="3" t="s">
        <v>78</v>
      </c>
      <c r="C57" s="3" t="s">
        <v>29</v>
      </c>
      <c r="D57" s="3" t="s">
        <v>23</v>
      </c>
      <c r="E57" s="3" t="s">
        <v>12</v>
      </c>
      <c r="F57" s="12">
        <v>40240</v>
      </c>
      <c r="G57" s="3">
        <v>67</v>
      </c>
      <c r="H57" s="3">
        <v>73</v>
      </c>
      <c r="I57" s="3">
        <v>140</v>
      </c>
      <c r="J57" s="3">
        <v>70</v>
      </c>
    </row>
    <row r="58" spans="2:10" x14ac:dyDescent="0.3">
      <c r="B58" s="3" t="s">
        <v>79</v>
      </c>
      <c r="C58" s="3" t="s">
        <v>22</v>
      </c>
      <c r="D58" s="3" t="s">
        <v>23</v>
      </c>
      <c r="E58" s="3" t="s">
        <v>12</v>
      </c>
      <c r="F58" s="12">
        <v>39542</v>
      </c>
      <c r="G58" s="3">
        <v>73</v>
      </c>
      <c r="H58" s="3">
        <v>60</v>
      </c>
      <c r="I58" s="3">
        <v>133</v>
      </c>
      <c r="J58" s="3">
        <v>66.5</v>
      </c>
    </row>
    <row r="59" spans="2:10" x14ac:dyDescent="0.3">
      <c r="B59" s="3" t="s">
        <v>80</v>
      </c>
      <c r="C59" s="3" t="s">
        <v>53</v>
      </c>
      <c r="D59" s="3" t="s">
        <v>23</v>
      </c>
      <c r="E59" s="3" t="s">
        <v>12</v>
      </c>
      <c r="F59" s="12">
        <v>40765</v>
      </c>
      <c r="G59" s="3">
        <v>60</v>
      </c>
      <c r="H59" s="3">
        <v>75</v>
      </c>
      <c r="I59" s="3">
        <v>135</v>
      </c>
      <c r="J59" s="3">
        <v>67.5</v>
      </c>
    </row>
    <row r="60" spans="2:10" x14ac:dyDescent="0.3">
      <c r="B60" s="3" t="s">
        <v>81</v>
      </c>
      <c r="C60" s="3" t="s">
        <v>10</v>
      </c>
      <c r="D60" s="3" t="s">
        <v>23</v>
      </c>
      <c r="E60" s="3" t="s">
        <v>12</v>
      </c>
      <c r="F60" s="12">
        <v>38912</v>
      </c>
      <c r="G60" s="3">
        <v>85</v>
      </c>
      <c r="H60" s="3">
        <v>94</v>
      </c>
      <c r="I60" s="3">
        <v>179</v>
      </c>
      <c r="J60" s="3">
        <v>89.5</v>
      </c>
    </row>
    <row r="61" spans="2:10" x14ac:dyDescent="0.3">
      <c r="B61" s="3" t="s">
        <v>82</v>
      </c>
      <c r="C61" s="3" t="s">
        <v>17</v>
      </c>
      <c r="D61" s="3" t="s">
        <v>31</v>
      </c>
      <c r="E61" s="3" t="s">
        <v>12</v>
      </c>
      <c r="F61" s="12">
        <v>37152</v>
      </c>
      <c r="G61" s="3">
        <v>97</v>
      </c>
      <c r="H61" s="3">
        <v>83</v>
      </c>
      <c r="I61" s="3">
        <v>180</v>
      </c>
      <c r="J61" s="3">
        <v>90</v>
      </c>
    </row>
    <row r="62" spans="2:10" x14ac:dyDescent="0.3">
      <c r="B62" s="3" t="s">
        <v>83</v>
      </c>
      <c r="C62" s="3" t="s">
        <v>25</v>
      </c>
      <c r="D62" s="3" t="s">
        <v>23</v>
      </c>
      <c r="E62" s="3" t="s">
        <v>12</v>
      </c>
      <c r="F62" s="12">
        <v>39779</v>
      </c>
      <c r="G62" s="3">
        <v>91</v>
      </c>
      <c r="H62" s="3">
        <v>84</v>
      </c>
      <c r="I62" s="3">
        <v>175</v>
      </c>
      <c r="J62" s="3">
        <v>87.5</v>
      </c>
    </row>
    <row r="63" spans="2:10" x14ac:dyDescent="0.3">
      <c r="B63" s="3" t="s">
        <v>84</v>
      </c>
      <c r="C63" s="3" t="s">
        <v>25</v>
      </c>
      <c r="D63" s="3" t="s">
        <v>23</v>
      </c>
      <c r="E63" s="3" t="s">
        <v>12</v>
      </c>
      <c r="F63" s="12">
        <v>40200</v>
      </c>
      <c r="G63" s="3">
        <v>75</v>
      </c>
      <c r="H63" s="3">
        <v>75</v>
      </c>
      <c r="I63" s="3">
        <v>150</v>
      </c>
      <c r="J63" s="3">
        <v>75</v>
      </c>
    </row>
    <row r="64" spans="2:10" x14ac:dyDescent="0.3">
      <c r="B64" s="3" t="s">
        <v>85</v>
      </c>
      <c r="C64" s="3" t="s">
        <v>25</v>
      </c>
      <c r="D64" s="3" t="s">
        <v>23</v>
      </c>
      <c r="E64" s="3" t="s">
        <v>12</v>
      </c>
      <c r="F64" s="12">
        <v>41030</v>
      </c>
      <c r="G64" s="3">
        <v>80</v>
      </c>
      <c r="H64" s="3">
        <v>79</v>
      </c>
      <c r="I64" s="3">
        <v>159</v>
      </c>
      <c r="J64" s="3">
        <v>79.5</v>
      </c>
    </row>
    <row r="65" spans="2:10" x14ac:dyDescent="0.3">
      <c r="B65" s="3" t="s">
        <v>86</v>
      </c>
      <c r="C65" s="3" t="s">
        <v>53</v>
      </c>
      <c r="D65" s="3" t="s">
        <v>31</v>
      </c>
      <c r="E65" s="3" t="s">
        <v>15</v>
      </c>
      <c r="F65" s="12">
        <v>36255</v>
      </c>
      <c r="G65" s="3">
        <v>87</v>
      </c>
      <c r="H65" s="3">
        <v>97</v>
      </c>
      <c r="I65" s="3">
        <v>184</v>
      </c>
      <c r="J65" s="3">
        <v>92</v>
      </c>
    </row>
    <row r="66" spans="2:10" x14ac:dyDescent="0.3">
      <c r="B66" s="3" t="s">
        <v>87</v>
      </c>
      <c r="C66" s="3" t="s">
        <v>68</v>
      </c>
      <c r="D66" s="3" t="s">
        <v>20</v>
      </c>
      <c r="E66" s="3" t="s">
        <v>12</v>
      </c>
      <c r="F66" s="12">
        <v>36419</v>
      </c>
      <c r="G66" s="3">
        <v>61</v>
      </c>
      <c r="H66" s="3">
        <v>71</v>
      </c>
      <c r="I66" s="3">
        <v>132</v>
      </c>
      <c r="J66" s="3">
        <v>66</v>
      </c>
    </row>
    <row r="67" spans="2:10" x14ac:dyDescent="0.3">
      <c r="B67" s="3" t="s">
        <v>88</v>
      </c>
      <c r="C67" s="3" t="s">
        <v>27</v>
      </c>
      <c r="D67" s="3" t="s">
        <v>35</v>
      </c>
      <c r="E67" s="3" t="s">
        <v>12</v>
      </c>
      <c r="F67" s="12">
        <v>38847</v>
      </c>
      <c r="G67" s="3">
        <v>99</v>
      </c>
      <c r="H67" s="3">
        <v>75</v>
      </c>
      <c r="I67" s="3">
        <v>174</v>
      </c>
      <c r="J67" s="3">
        <v>87</v>
      </c>
    </row>
    <row r="68" spans="2:10" x14ac:dyDescent="0.3">
      <c r="B68" s="3" t="s">
        <v>89</v>
      </c>
      <c r="C68" s="3" t="s">
        <v>53</v>
      </c>
      <c r="D68" s="3" t="s">
        <v>35</v>
      </c>
      <c r="E68" s="3" t="s">
        <v>15</v>
      </c>
      <c r="F68" s="12">
        <v>38987</v>
      </c>
      <c r="G68" s="3">
        <v>75</v>
      </c>
      <c r="H68" s="3">
        <v>61</v>
      </c>
      <c r="I68" s="3">
        <v>136</v>
      </c>
      <c r="J68" s="3">
        <v>68</v>
      </c>
    </row>
    <row r="69" spans="2:10" x14ac:dyDescent="0.3">
      <c r="B69" s="3" t="s">
        <v>90</v>
      </c>
      <c r="C69" s="3" t="s">
        <v>29</v>
      </c>
      <c r="D69" s="3" t="s">
        <v>11</v>
      </c>
      <c r="E69" s="3" t="s">
        <v>15</v>
      </c>
      <c r="F69" s="12">
        <v>41157</v>
      </c>
      <c r="G69" s="3">
        <v>77</v>
      </c>
      <c r="H69" s="3">
        <v>63</v>
      </c>
      <c r="I69" s="3">
        <v>140</v>
      </c>
      <c r="J69" s="3">
        <v>70</v>
      </c>
    </row>
    <row r="70" spans="2:10" x14ac:dyDescent="0.3">
      <c r="B70" s="3" t="s">
        <v>91</v>
      </c>
      <c r="C70" s="3" t="s">
        <v>29</v>
      </c>
      <c r="D70" s="3" t="s">
        <v>35</v>
      </c>
      <c r="E70" s="3" t="s">
        <v>12</v>
      </c>
      <c r="F70" s="12">
        <v>38828</v>
      </c>
      <c r="G70" s="3">
        <v>60</v>
      </c>
      <c r="H70" s="3">
        <v>86</v>
      </c>
      <c r="I70" s="3">
        <v>146</v>
      </c>
      <c r="J70" s="3">
        <v>73</v>
      </c>
    </row>
    <row r="71" spans="2:10" x14ac:dyDescent="0.3">
      <c r="B71" s="3" t="s">
        <v>92</v>
      </c>
      <c r="C71" s="3" t="s">
        <v>22</v>
      </c>
      <c r="D71" s="3" t="s">
        <v>20</v>
      </c>
      <c r="E71" s="3" t="s">
        <v>12</v>
      </c>
      <c r="F71" s="12">
        <v>36441</v>
      </c>
      <c r="G71" s="3">
        <v>97</v>
      </c>
      <c r="H71" s="3">
        <v>94</v>
      </c>
      <c r="I71" s="3">
        <v>191</v>
      </c>
      <c r="J71" s="3">
        <v>95.5</v>
      </c>
    </row>
    <row r="72" spans="2:10" x14ac:dyDescent="0.3">
      <c r="B72" s="3" t="s">
        <v>93</v>
      </c>
      <c r="C72" s="3" t="s">
        <v>25</v>
      </c>
      <c r="D72" s="3" t="s">
        <v>20</v>
      </c>
      <c r="E72" s="3" t="s">
        <v>12</v>
      </c>
      <c r="F72" s="12">
        <v>35908</v>
      </c>
      <c r="G72" s="3">
        <v>75</v>
      </c>
      <c r="H72" s="3">
        <v>90</v>
      </c>
      <c r="I72" s="3">
        <v>165</v>
      </c>
      <c r="J72" s="3">
        <v>82.5</v>
      </c>
    </row>
    <row r="73" spans="2:10" x14ac:dyDescent="0.3">
      <c r="B73" s="3" t="s">
        <v>94</v>
      </c>
      <c r="C73" s="3" t="s">
        <v>68</v>
      </c>
      <c r="D73" s="3" t="s">
        <v>11</v>
      </c>
      <c r="E73" s="3" t="s">
        <v>12</v>
      </c>
      <c r="F73" s="12">
        <v>41765</v>
      </c>
      <c r="G73" s="3">
        <v>81</v>
      </c>
      <c r="H73" s="3">
        <v>65</v>
      </c>
      <c r="I73" s="3">
        <v>146</v>
      </c>
      <c r="J73" s="3">
        <v>73</v>
      </c>
    </row>
    <row r="74" spans="2:10" x14ac:dyDescent="0.3">
      <c r="B74" s="3" t="s">
        <v>95</v>
      </c>
      <c r="C74" s="3" t="s">
        <v>10</v>
      </c>
      <c r="D74" s="3" t="s">
        <v>23</v>
      </c>
      <c r="E74" s="3" t="s">
        <v>12</v>
      </c>
      <c r="F74" s="12">
        <v>38889</v>
      </c>
      <c r="G74" s="3">
        <v>62</v>
      </c>
      <c r="H74" s="3">
        <v>70</v>
      </c>
      <c r="I74" s="3">
        <v>132</v>
      </c>
      <c r="J74" s="3">
        <v>66</v>
      </c>
    </row>
    <row r="75" spans="2:10" x14ac:dyDescent="0.3">
      <c r="B75" s="3" t="s">
        <v>96</v>
      </c>
      <c r="C75" s="3" t="s">
        <v>25</v>
      </c>
      <c r="D75" s="3" t="s">
        <v>11</v>
      </c>
      <c r="E75" s="3" t="s">
        <v>12</v>
      </c>
      <c r="F75" s="12">
        <v>41873</v>
      </c>
      <c r="G75" s="3">
        <v>76</v>
      </c>
      <c r="H75" s="3">
        <v>89</v>
      </c>
      <c r="I75" s="3">
        <v>165</v>
      </c>
      <c r="J75" s="3">
        <v>82.5</v>
      </c>
    </row>
    <row r="76" spans="2:10" x14ac:dyDescent="0.3">
      <c r="B76" s="3" t="s">
        <v>97</v>
      </c>
      <c r="C76" s="3" t="s">
        <v>22</v>
      </c>
      <c r="D76" s="3" t="s">
        <v>23</v>
      </c>
      <c r="E76" s="3" t="s">
        <v>12</v>
      </c>
      <c r="F76" s="12">
        <v>40102</v>
      </c>
      <c r="G76" s="3">
        <v>62</v>
      </c>
      <c r="H76" s="3">
        <v>67</v>
      </c>
      <c r="I76" s="3">
        <v>129</v>
      </c>
      <c r="J76" s="3">
        <v>64.5</v>
      </c>
    </row>
    <row r="77" spans="2:10" x14ac:dyDescent="0.3">
      <c r="B77" s="3" t="s">
        <v>98</v>
      </c>
      <c r="C77" s="3" t="s">
        <v>22</v>
      </c>
      <c r="D77" s="3" t="s">
        <v>11</v>
      </c>
      <c r="E77" s="3" t="s">
        <v>12</v>
      </c>
      <c r="F77" s="12">
        <v>41914</v>
      </c>
      <c r="G77" s="3">
        <v>99</v>
      </c>
      <c r="H77" s="3">
        <v>90</v>
      </c>
      <c r="I77" s="3">
        <v>189</v>
      </c>
      <c r="J77" s="3">
        <v>94.5</v>
      </c>
    </row>
    <row r="78" spans="2:10" x14ac:dyDescent="0.3">
      <c r="B78" s="3" t="s">
        <v>99</v>
      </c>
      <c r="C78" s="3" t="s">
        <v>68</v>
      </c>
      <c r="D78" s="3" t="s">
        <v>35</v>
      </c>
      <c r="E78" s="3" t="s">
        <v>12</v>
      </c>
      <c r="F78" s="12">
        <v>37237</v>
      </c>
      <c r="G78" s="3">
        <v>60</v>
      </c>
      <c r="H78" s="3">
        <v>94</v>
      </c>
      <c r="I78" s="3">
        <v>154</v>
      </c>
      <c r="J78" s="3">
        <v>77</v>
      </c>
    </row>
    <row r="79" spans="2:10" x14ac:dyDescent="0.3">
      <c r="B79" s="3" t="s">
        <v>100</v>
      </c>
      <c r="C79" s="3" t="s">
        <v>25</v>
      </c>
      <c r="D79" s="3" t="s">
        <v>11</v>
      </c>
      <c r="E79" s="3" t="s">
        <v>12</v>
      </c>
      <c r="F79" s="12">
        <v>42951</v>
      </c>
      <c r="G79" s="3">
        <v>97</v>
      </c>
      <c r="H79" s="3">
        <v>88</v>
      </c>
      <c r="I79" s="3">
        <v>185</v>
      </c>
      <c r="J79" s="3">
        <v>92.5</v>
      </c>
    </row>
    <row r="80" spans="2:10" x14ac:dyDescent="0.3">
      <c r="B80" s="3" t="s">
        <v>101</v>
      </c>
      <c r="C80" s="3" t="s">
        <v>29</v>
      </c>
      <c r="D80" s="3" t="s">
        <v>11</v>
      </c>
      <c r="E80" s="3" t="s">
        <v>15</v>
      </c>
      <c r="F80" s="12">
        <v>42352</v>
      </c>
      <c r="G80" s="3">
        <v>96</v>
      </c>
      <c r="H80" s="3">
        <v>97</v>
      </c>
      <c r="I80" s="3">
        <v>193</v>
      </c>
      <c r="J80" s="3">
        <v>96.5</v>
      </c>
    </row>
    <row r="81" spans="2:20" x14ac:dyDescent="0.3">
      <c r="B81" s="3" t="s">
        <v>98</v>
      </c>
      <c r="C81" s="3" t="s">
        <v>22</v>
      </c>
      <c r="D81" s="3" t="s">
        <v>11</v>
      </c>
      <c r="E81" s="3" t="s">
        <v>12</v>
      </c>
      <c r="F81" s="12">
        <v>41914</v>
      </c>
      <c r="G81" s="3">
        <v>99</v>
      </c>
      <c r="H81" s="3">
        <v>90</v>
      </c>
      <c r="I81" s="3">
        <v>189</v>
      </c>
      <c r="J81" s="3">
        <v>94.5</v>
      </c>
    </row>
    <row r="82" spans="2:20" x14ac:dyDescent="0.3">
      <c r="B82" s="3" t="s">
        <v>99</v>
      </c>
      <c r="C82" s="3" t="s">
        <v>68</v>
      </c>
      <c r="D82" s="3" t="s">
        <v>35</v>
      </c>
      <c r="E82" s="3" t="s">
        <v>12</v>
      </c>
      <c r="F82" s="12">
        <v>37237</v>
      </c>
      <c r="G82" s="3">
        <v>60</v>
      </c>
      <c r="H82" s="3">
        <v>94</v>
      </c>
      <c r="I82" s="3">
        <v>154</v>
      </c>
      <c r="J82" s="3">
        <v>77</v>
      </c>
    </row>
    <row r="83" spans="2:20" x14ac:dyDescent="0.3">
      <c r="B83" s="3" t="s">
        <v>100</v>
      </c>
      <c r="C83" s="3" t="s">
        <v>25</v>
      </c>
      <c r="D83" s="3" t="s">
        <v>11</v>
      </c>
      <c r="E83" s="3" t="s">
        <v>12</v>
      </c>
      <c r="F83" s="12">
        <v>42951</v>
      </c>
      <c r="G83" s="3">
        <v>72</v>
      </c>
      <c r="H83" s="3">
        <v>88</v>
      </c>
      <c r="I83" s="3">
        <v>160</v>
      </c>
      <c r="J83" s="3">
        <v>80</v>
      </c>
    </row>
    <row r="84" spans="2:20" x14ac:dyDescent="0.3">
      <c r="B84" s="4" t="s">
        <v>101</v>
      </c>
      <c r="C84" s="4" t="s">
        <v>29</v>
      </c>
      <c r="D84" s="4" t="s">
        <v>11</v>
      </c>
      <c r="E84" s="4" t="s">
        <v>15</v>
      </c>
      <c r="F84" s="13">
        <v>42352</v>
      </c>
      <c r="G84" s="4">
        <v>80</v>
      </c>
      <c r="H84" s="4">
        <v>97</v>
      </c>
      <c r="I84" s="4">
        <v>177</v>
      </c>
      <c r="J84" s="4">
        <v>88.5</v>
      </c>
    </row>
    <row r="85" spans="2:20" x14ac:dyDescent="0.3">
      <c r="L85" s="5" t="s">
        <v>0</v>
      </c>
      <c r="M85" s="6" t="s">
        <v>1</v>
      </c>
      <c r="N85" s="6" t="s">
        <v>2</v>
      </c>
      <c r="O85" s="6" t="s">
        <v>3</v>
      </c>
      <c r="P85" s="6" t="s">
        <v>4</v>
      </c>
      <c r="Q85" s="6" t="s">
        <v>5</v>
      </c>
      <c r="R85" s="6" t="s">
        <v>6</v>
      </c>
      <c r="S85" s="6" t="s">
        <v>7</v>
      </c>
      <c r="T85" s="7" t="s">
        <v>8</v>
      </c>
    </row>
    <row r="86" spans="2:20" x14ac:dyDescent="0.3">
      <c r="L86" s="3" t="s">
        <v>9</v>
      </c>
      <c r="M86" s="3" t="s">
        <v>10</v>
      </c>
      <c r="N86" s="3" t="s">
        <v>11</v>
      </c>
      <c r="O86" s="3" t="s">
        <v>12</v>
      </c>
      <c r="P86" s="12">
        <v>42830</v>
      </c>
      <c r="Q86" s="3">
        <v>97</v>
      </c>
      <c r="R86" s="3">
        <v>70</v>
      </c>
      <c r="S86" s="3">
        <v>167</v>
      </c>
      <c r="T86" s="3">
        <v>83.5</v>
      </c>
    </row>
    <row r="87" spans="2:20" x14ac:dyDescent="0.3">
      <c r="L87" s="3" t="s">
        <v>33</v>
      </c>
      <c r="M87" s="3" t="s">
        <v>10</v>
      </c>
      <c r="N87" s="3" t="s">
        <v>20</v>
      </c>
      <c r="O87" s="3" t="s">
        <v>15</v>
      </c>
      <c r="P87" s="12">
        <v>35786</v>
      </c>
      <c r="Q87" s="3">
        <v>66</v>
      </c>
      <c r="R87" s="3">
        <v>91</v>
      </c>
      <c r="S87" s="3">
        <v>157</v>
      </c>
      <c r="T87" s="3">
        <v>78.5</v>
      </c>
    </row>
    <row r="88" spans="2:20" x14ac:dyDescent="0.3">
      <c r="L88" s="3" t="s">
        <v>40</v>
      </c>
      <c r="M88" s="3" t="s">
        <v>10</v>
      </c>
      <c r="N88" s="3" t="s">
        <v>11</v>
      </c>
      <c r="O88" s="3" t="s">
        <v>15</v>
      </c>
      <c r="P88" s="12">
        <v>40869</v>
      </c>
      <c r="Q88" s="3">
        <v>67</v>
      </c>
      <c r="R88" s="3">
        <v>67</v>
      </c>
      <c r="S88" s="3">
        <v>134</v>
      </c>
      <c r="T88" s="3">
        <v>67</v>
      </c>
    </row>
    <row r="89" spans="2:20" x14ac:dyDescent="0.3">
      <c r="B89" s="43" t="s">
        <v>270</v>
      </c>
      <c r="C89" t="s">
        <v>271</v>
      </c>
      <c r="D89" t="s">
        <v>272</v>
      </c>
      <c r="L89" s="3" t="s">
        <v>43</v>
      </c>
      <c r="M89" s="3" t="s">
        <v>10</v>
      </c>
      <c r="N89" s="3" t="s">
        <v>31</v>
      </c>
      <c r="O89" s="3" t="s">
        <v>12</v>
      </c>
      <c r="P89" s="12">
        <v>35613</v>
      </c>
      <c r="Q89" s="3">
        <v>72</v>
      </c>
      <c r="R89" s="3">
        <v>91</v>
      </c>
      <c r="S89" s="3">
        <v>163</v>
      </c>
      <c r="T89" s="3">
        <v>81.5</v>
      </c>
    </row>
    <row r="90" spans="2:20" x14ac:dyDescent="0.3">
      <c r="B90" s="54" t="s">
        <v>29</v>
      </c>
      <c r="C90" s="44">
        <v>563</v>
      </c>
      <c r="D90" s="44">
        <v>80.428571428571431</v>
      </c>
      <c r="L90" s="3" t="s">
        <v>62</v>
      </c>
      <c r="M90" s="3" t="s">
        <v>10</v>
      </c>
      <c r="N90" s="3" t="s">
        <v>35</v>
      </c>
      <c r="O90" s="3" t="s">
        <v>12</v>
      </c>
      <c r="P90" s="12">
        <v>38660</v>
      </c>
      <c r="Q90" s="3">
        <v>88</v>
      </c>
      <c r="R90" s="3">
        <v>74</v>
      </c>
      <c r="S90" s="3">
        <v>162</v>
      </c>
      <c r="T90" s="3">
        <v>81</v>
      </c>
    </row>
    <row r="91" spans="2:20" x14ac:dyDescent="0.3">
      <c r="B91" s="54" t="s">
        <v>25</v>
      </c>
      <c r="C91" s="44">
        <v>1055</v>
      </c>
      <c r="D91" s="44">
        <v>81.15384615384616</v>
      </c>
      <c r="L91" s="3" t="s">
        <v>81</v>
      </c>
      <c r="M91" s="3" t="s">
        <v>10</v>
      </c>
      <c r="N91" s="3" t="s">
        <v>23</v>
      </c>
      <c r="O91" s="3" t="s">
        <v>12</v>
      </c>
      <c r="P91" s="12">
        <v>38912</v>
      </c>
      <c r="Q91" s="3">
        <v>85</v>
      </c>
      <c r="R91" s="3">
        <v>94</v>
      </c>
      <c r="S91" s="3">
        <v>179</v>
      </c>
      <c r="T91" s="3">
        <v>89.5</v>
      </c>
    </row>
    <row r="92" spans="2:20" x14ac:dyDescent="0.3">
      <c r="B92" s="54" t="s">
        <v>10</v>
      </c>
      <c r="C92" s="44">
        <v>537</v>
      </c>
      <c r="D92" s="44">
        <v>76.714285714285708</v>
      </c>
      <c r="L92" s="3" t="s">
        <v>95</v>
      </c>
      <c r="M92" s="3" t="s">
        <v>10</v>
      </c>
      <c r="N92" s="3" t="s">
        <v>23</v>
      </c>
      <c r="O92" s="3" t="s">
        <v>12</v>
      </c>
      <c r="P92" s="12">
        <v>38889</v>
      </c>
      <c r="Q92" s="3">
        <v>62</v>
      </c>
      <c r="R92" s="3">
        <v>70</v>
      </c>
      <c r="S92" s="3">
        <v>132</v>
      </c>
      <c r="T92" s="3">
        <v>66</v>
      </c>
    </row>
    <row r="93" spans="2:20" x14ac:dyDescent="0.3">
      <c r="B93" s="54" t="s">
        <v>14</v>
      </c>
      <c r="C93" s="44">
        <v>534</v>
      </c>
      <c r="D93" s="44">
        <v>89</v>
      </c>
    </row>
    <row r="94" spans="2:20" x14ac:dyDescent="0.3">
      <c r="B94" s="54" t="s">
        <v>17</v>
      </c>
      <c r="C94" s="44">
        <v>649</v>
      </c>
      <c r="D94" s="44">
        <v>81.125</v>
      </c>
    </row>
    <row r="95" spans="2:20" x14ac:dyDescent="0.3">
      <c r="B95" s="54" t="s">
        <v>22</v>
      </c>
      <c r="C95" s="44">
        <v>924</v>
      </c>
      <c r="D95" s="44">
        <v>84</v>
      </c>
    </row>
    <row r="96" spans="2:20" x14ac:dyDescent="0.3">
      <c r="B96" s="54" t="s">
        <v>27</v>
      </c>
      <c r="C96" s="44">
        <v>1034</v>
      </c>
      <c r="D96" s="44">
        <v>79.538461538461533</v>
      </c>
    </row>
    <row r="97" spans="2:4" x14ac:dyDescent="0.3">
      <c r="B97" s="54" t="s">
        <v>53</v>
      </c>
      <c r="C97" s="44">
        <v>471</v>
      </c>
      <c r="D97" s="44">
        <v>78.5</v>
      </c>
    </row>
    <row r="98" spans="2:4" x14ac:dyDescent="0.3">
      <c r="B98" s="54" t="s">
        <v>38</v>
      </c>
      <c r="C98" s="44">
        <v>308</v>
      </c>
      <c r="D98" s="44">
        <v>77</v>
      </c>
    </row>
    <row r="99" spans="2:4" x14ac:dyDescent="0.3">
      <c r="B99" s="54" t="s">
        <v>68</v>
      </c>
      <c r="C99" s="44">
        <v>325</v>
      </c>
      <c r="D99" s="44">
        <v>65</v>
      </c>
    </row>
    <row r="100" spans="2:4" x14ac:dyDescent="0.3">
      <c r="B100" s="54" t="s">
        <v>188</v>
      </c>
      <c r="C100" s="44">
        <v>6400</v>
      </c>
      <c r="D100" s="44">
        <v>80</v>
      </c>
    </row>
  </sheetData>
  <autoFilter ref="B4:J84" xr:uid="{695169C4-CE5B-48A8-B1F1-7FDC2F69787C}"/>
  <phoneticPr fontId="2" type="noConversion"/>
  <dataValidations disablePrompts="1" count="1">
    <dataValidation type="list" allowBlank="1" showInputMessage="1" showErrorMessage="1" sqref="M2" xr:uid="{4FC706E3-3877-45A6-9758-1D82D20B6F91}">
      <formula1>소속명</formula1>
    </dataValidation>
  </dataValidations>
  <pageMargins left="0.7" right="0.7" top="0.75" bottom="0.75" header="0.3" footer="0.3"/>
  <pageSetup paperSize="9"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2BA9AA-04C8-4E32-9A86-9F0B4F8D882D}">
  <sheetPr codeName="Sheet14"/>
  <dimension ref="B2:O19"/>
  <sheetViews>
    <sheetView showGridLines="0" workbookViewId="0">
      <selection activeCell="D14" sqref="D14"/>
    </sheetView>
  </sheetViews>
  <sheetFormatPr defaultRowHeight="16.5" x14ac:dyDescent="0.3"/>
  <cols>
    <col min="1" max="1" width="1.75" customWidth="1"/>
    <col min="2" max="2" width="9" customWidth="1"/>
    <col min="3" max="3" width="7" style="56" customWidth="1"/>
    <col min="4" max="4" width="55.75" customWidth="1"/>
    <col min="12" max="12" width="2.875" hidden="1" customWidth="1"/>
    <col min="13" max="13" width="25.875" hidden="1" customWidth="1"/>
    <col min="14" max="14" width="2.625" hidden="1" customWidth="1"/>
    <col min="15" max="15" width="5.25" hidden="1" customWidth="1"/>
  </cols>
  <sheetData>
    <row r="2" spans="2:15" ht="31.5" x14ac:dyDescent="0.3">
      <c r="B2" s="73" t="s">
        <v>274</v>
      </c>
    </row>
    <row r="3" spans="2:15" ht="6.75" customHeight="1" thickBot="1" x14ac:dyDescent="0.35"/>
    <row r="4" spans="2:15" ht="34.5" customHeight="1" thickBot="1" x14ac:dyDescent="0.35">
      <c r="B4" s="69" t="s">
        <v>283</v>
      </c>
      <c r="C4" s="90" t="s">
        <v>284</v>
      </c>
      <c r="D4" s="91"/>
    </row>
    <row r="5" spans="2:15" ht="34.5" customHeight="1" x14ac:dyDescent="0.3">
      <c r="B5" s="94" t="s">
        <v>298</v>
      </c>
      <c r="C5" s="70" t="s">
        <v>104</v>
      </c>
      <c r="D5" s="60" t="s">
        <v>292</v>
      </c>
    </row>
    <row r="6" spans="2:15" ht="34.5" customHeight="1" x14ac:dyDescent="0.3">
      <c r="B6" s="95"/>
      <c r="C6" s="92" t="s">
        <v>106</v>
      </c>
      <c r="D6" s="61" t="s">
        <v>294</v>
      </c>
      <c r="M6" s="56"/>
      <c r="N6" s="59"/>
      <c r="O6" s="56"/>
    </row>
    <row r="7" spans="2:15" ht="34.5" customHeight="1" x14ac:dyDescent="0.3">
      <c r="B7" s="95"/>
      <c r="C7" s="92"/>
      <c r="D7" s="61" t="s">
        <v>293</v>
      </c>
      <c r="M7" s="68" t="s">
        <v>295</v>
      </c>
      <c r="N7" s="67"/>
      <c r="O7" s="66"/>
    </row>
    <row r="8" spans="2:15" ht="34.5" customHeight="1" x14ac:dyDescent="0.3">
      <c r="B8" s="95"/>
      <c r="C8" s="92" t="s">
        <v>291</v>
      </c>
      <c r="D8" s="61" t="s">
        <v>296</v>
      </c>
    </row>
    <row r="9" spans="2:15" ht="34.5" customHeight="1" thickBot="1" x14ac:dyDescent="0.35">
      <c r="B9" s="96"/>
      <c r="C9" s="93"/>
      <c r="D9" s="62" t="s">
        <v>297</v>
      </c>
    </row>
    <row r="10" spans="2:15" ht="34.5" customHeight="1" thickBot="1" x14ac:dyDescent="0.35">
      <c r="B10" s="88" t="s">
        <v>299</v>
      </c>
      <c r="C10" s="70" t="s">
        <v>285</v>
      </c>
      <c r="D10" s="60" t="s">
        <v>275</v>
      </c>
    </row>
    <row r="11" spans="2:15" ht="34.5" customHeight="1" thickBot="1" x14ac:dyDescent="0.35">
      <c r="B11" s="89"/>
      <c r="C11" s="71" t="s">
        <v>286</v>
      </c>
      <c r="D11" s="61" t="s">
        <v>276</v>
      </c>
    </row>
    <row r="12" spans="2:15" ht="34.5" customHeight="1" thickBot="1" x14ac:dyDescent="0.35">
      <c r="B12" s="89"/>
      <c r="C12" s="71" t="s">
        <v>287</v>
      </c>
      <c r="D12" s="61" t="s">
        <v>277</v>
      </c>
    </row>
    <row r="13" spans="2:15" ht="34.5" customHeight="1" thickBot="1" x14ac:dyDescent="0.35">
      <c r="B13" s="89"/>
      <c r="C13" s="72" t="s">
        <v>288</v>
      </c>
      <c r="D13" s="62" t="s">
        <v>300</v>
      </c>
    </row>
    <row r="14" spans="2:15" ht="34.5" customHeight="1" thickBot="1" x14ac:dyDescent="0.35">
      <c r="B14" s="89" t="s">
        <v>278</v>
      </c>
      <c r="C14" s="70" t="s">
        <v>285</v>
      </c>
      <c r="D14" s="60" t="s">
        <v>279</v>
      </c>
    </row>
    <row r="15" spans="2:15" ht="34.5" customHeight="1" thickBot="1" x14ac:dyDescent="0.35">
      <c r="B15" s="89"/>
      <c r="C15" s="71" t="s">
        <v>286</v>
      </c>
      <c r="D15" s="61" t="s">
        <v>280</v>
      </c>
    </row>
    <row r="16" spans="2:15" ht="34.5" customHeight="1" thickBot="1" x14ac:dyDescent="0.35">
      <c r="B16" s="89"/>
      <c r="C16" s="97" t="s">
        <v>287</v>
      </c>
      <c r="D16" s="63" t="s">
        <v>289</v>
      </c>
    </row>
    <row r="17" spans="2:4" ht="34.5" customHeight="1" thickBot="1" x14ac:dyDescent="0.35">
      <c r="B17" s="89"/>
      <c r="C17" s="98"/>
      <c r="D17" s="64" t="s">
        <v>290</v>
      </c>
    </row>
    <row r="18" spans="2:4" ht="34.5" customHeight="1" thickBot="1" x14ac:dyDescent="0.35">
      <c r="B18" s="89"/>
      <c r="C18" s="97" t="s">
        <v>288</v>
      </c>
      <c r="D18" s="63" t="s">
        <v>281</v>
      </c>
    </row>
    <row r="19" spans="2:4" ht="34.5" customHeight="1" thickBot="1" x14ac:dyDescent="0.35">
      <c r="B19" s="89"/>
      <c r="C19" s="99"/>
      <c r="D19" s="65" t="s">
        <v>282</v>
      </c>
    </row>
  </sheetData>
  <mergeCells count="8">
    <mergeCell ref="B10:B13"/>
    <mergeCell ref="B14:B19"/>
    <mergeCell ref="C4:D4"/>
    <mergeCell ref="C6:C7"/>
    <mergeCell ref="C8:C9"/>
    <mergeCell ref="B5:B9"/>
    <mergeCell ref="C16:C17"/>
    <mergeCell ref="C18:C19"/>
  </mergeCells>
  <phoneticPr fontId="2" type="noConversion"/>
  <pageMargins left="0.7" right="0.7" top="0.75" bottom="0.75" header="0.3" footer="0.3"/>
  <pageSetup paperSize="9" orientation="portrait" verticalDpi="0" r:id="rId1"/>
  <ignoredErrors>
    <ignoredError sqref="C10:C16 C18" numberStoredAsText="1"/>
  </ignoredErrors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84CAAC-9698-4735-B6E3-69FE8977D0B9}">
  <sheetPr codeName="Sheet15">
    <tabColor rgb="FF0070C0"/>
  </sheetPr>
  <dimension ref="B1:V85"/>
  <sheetViews>
    <sheetView tabSelected="1" zoomScaleNormal="100" workbookViewId="0">
      <selection activeCell="P4" sqref="P4"/>
    </sheetView>
  </sheetViews>
  <sheetFormatPr defaultRowHeight="16.5" x14ac:dyDescent="0.3"/>
  <cols>
    <col min="1" max="1" width="1.625" customWidth="1"/>
    <col min="3" max="3" width="11" bestFit="1" customWidth="1"/>
    <col min="4" max="5" width="6.5" customWidth="1"/>
    <col min="6" max="6" width="11.125" bestFit="1" customWidth="1"/>
    <col min="7" max="7" width="7.875" customWidth="1"/>
    <col min="8" max="8" width="7.75" customWidth="1"/>
    <col min="9" max="10" width="6.5" customWidth="1"/>
    <col min="11" max="11" width="2.5" customWidth="1"/>
    <col min="12" max="12" width="11.875" hidden="1" customWidth="1"/>
    <col min="13" max="13" width="2.375" customWidth="1"/>
    <col min="14" max="14" width="9" style="75" customWidth="1"/>
    <col min="15" max="15" width="11.625" style="75" customWidth="1"/>
    <col min="16" max="17" width="9" style="75"/>
    <col min="18" max="18" width="11.125" style="17" bestFit="1" customWidth="1"/>
    <col min="19" max="22" width="9" style="75"/>
  </cols>
  <sheetData>
    <row r="1" spans="2:22" ht="7.5" customHeight="1" thickBot="1" x14ac:dyDescent="0.35"/>
    <row r="2" spans="2:22" s="1" customFormat="1" ht="30" customHeight="1" thickTop="1" thickBot="1" x14ac:dyDescent="0.35">
      <c r="B2" s="80" t="s">
        <v>102</v>
      </c>
      <c r="C2" s="81"/>
      <c r="D2" s="81"/>
      <c r="E2" s="81"/>
      <c r="F2" s="81"/>
      <c r="G2" s="81"/>
      <c r="H2" s="81"/>
      <c r="I2" s="81"/>
      <c r="J2" s="81"/>
      <c r="K2"/>
      <c r="L2"/>
      <c r="N2" s="10" t="s">
        <v>1</v>
      </c>
      <c r="O2" t="s">
        <v>10</v>
      </c>
      <c r="P2" s="75"/>
      <c r="Q2" s="75"/>
      <c r="R2" s="17"/>
      <c r="S2" s="75"/>
      <c r="T2" s="75"/>
      <c r="U2" s="16"/>
      <c r="V2" s="16"/>
    </row>
    <row r="3" spans="2:22" ht="7.5" customHeight="1" thickTop="1" x14ac:dyDescent="0.3"/>
    <row r="4" spans="2:22" x14ac:dyDescent="0.3">
      <c r="B4" s="78" t="s">
        <v>0</v>
      </c>
      <c r="C4" s="79" t="s">
        <v>1</v>
      </c>
      <c r="D4" s="79" t="s">
        <v>2</v>
      </c>
      <c r="E4" s="79" t="s">
        <v>3</v>
      </c>
      <c r="F4" s="79" t="s">
        <v>4</v>
      </c>
      <c r="G4" s="79" t="s">
        <v>5</v>
      </c>
      <c r="H4" s="79" t="s">
        <v>6</v>
      </c>
      <c r="I4" s="79" t="s">
        <v>7</v>
      </c>
      <c r="J4" s="79" t="s">
        <v>8</v>
      </c>
      <c r="K4" s="79"/>
      <c r="L4" s="84" t="s">
        <v>1</v>
      </c>
      <c r="N4" s="85" t="s">
        <v>0</v>
      </c>
      <c r="O4" s="84" t="s">
        <v>1</v>
      </c>
      <c r="P4" s="84" t="s">
        <v>2</v>
      </c>
      <c r="Q4" s="84" t="s">
        <v>3</v>
      </c>
      <c r="R4" s="87" t="s">
        <v>4</v>
      </c>
      <c r="S4" s="84" t="s">
        <v>5</v>
      </c>
      <c r="T4" s="84" t="s">
        <v>6</v>
      </c>
      <c r="U4" s="84" t="s">
        <v>7</v>
      </c>
      <c r="V4" s="86" t="s">
        <v>8</v>
      </c>
    </row>
    <row r="5" spans="2:22" x14ac:dyDescent="0.3">
      <c r="B5" s="76" t="s">
        <v>9</v>
      </c>
      <c r="C5" s="76" t="s">
        <v>10</v>
      </c>
      <c r="D5" s="76" t="s">
        <v>11</v>
      </c>
      <c r="E5" s="76" t="s">
        <v>12</v>
      </c>
      <c r="F5" s="77">
        <v>42830</v>
      </c>
      <c r="G5" s="76">
        <v>97</v>
      </c>
      <c r="H5" s="76">
        <v>70</v>
      </c>
      <c r="I5" s="76">
        <v>167</v>
      </c>
      <c r="J5" s="76">
        <v>83.5</v>
      </c>
      <c r="K5" s="76"/>
      <c r="L5" s="76" t="str" cm="1">
        <f t="array" ref="L5:L14">_xlfn.UNIQUE(표2[소속])</f>
        <v>구매팀</v>
      </c>
      <c r="N5" t="str" cm="1">
        <f t="array" ref="N5:V12">_xlfn._xlws.SORT(_xlfn._xlws.FILTER(표2[],표2[소속]=O2,""),5)</f>
        <v>문무왕</v>
      </c>
      <c r="O5" t="str">
        <v>구매팀</v>
      </c>
      <c r="P5" t="str">
        <v>차장</v>
      </c>
      <c r="Q5" t="str">
        <v>남</v>
      </c>
      <c r="R5" s="14">
        <v>35613</v>
      </c>
      <c r="S5">
        <v>72</v>
      </c>
      <c r="T5">
        <v>91</v>
      </c>
      <c r="U5">
        <v>163</v>
      </c>
      <c r="V5">
        <v>81.5</v>
      </c>
    </row>
    <row r="6" spans="2:22" x14ac:dyDescent="0.3">
      <c r="B6" s="76" t="s">
        <v>13</v>
      </c>
      <c r="C6" s="76" t="s">
        <v>14</v>
      </c>
      <c r="D6" s="76" t="s">
        <v>11</v>
      </c>
      <c r="E6" s="76" t="s">
        <v>15</v>
      </c>
      <c r="F6" s="77">
        <v>40563</v>
      </c>
      <c r="G6" s="76">
        <v>93</v>
      </c>
      <c r="H6" s="76">
        <v>79</v>
      </c>
      <c r="I6" s="76">
        <v>172</v>
      </c>
      <c r="J6" s="76">
        <v>86</v>
      </c>
      <c r="K6" s="76"/>
      <c r="L6" s="76" t="str">
        <v>기획팀</v>
      </c>
      <c r="N6" t="str">
        <v>김유신</v>
      </c>
      <c r="O6" t="str">
        <v>구매팀</v>
      </c>
      <c r="P6" t="str">
        <v>부장</v>
      </c>
      <c r="Q6" t="str">
        <v>여</v>
      </c>
      <c r="R6" s="14">
        <v>35786</v>
      </c>
      <c r="S6">
        <v>66</v>
      </c>
      <c r="T6">
        <v>91</v>
      </c>
      <c r="U6">
        <v>157</v>
      </c>
      <c r="V6">
        <v>78.5</v>
      </c>
    </row>
    <row r="7" spans="2:22" x14ac:dyDescent="0.3">
      <c r="B7" s="76" t="s">
        <v>16</v>
      </c>
      <c r="C7" s="76" t="s">
        <v>17</v>
      </c>
      <c r="D7" s="76" t="s">
        <v>11</v>
      </c>
      <c r="E7" s="76" t="s">
        <v>12</v>
      </c>
      <c r="F7" s="77">
        <v>40809</v>
      </c>
      <c r="G7" s="76">
        <v>63</v>
      </c>
      <c r="H7" s="76">
        <v>75</v>
      </c>
      <c r="I7" s="76">
        <v>138</v>
      </c>
      <c r="J7" s="76">
        <v>69</v>
      </c>
      <c r="K7" s="76"/>
      <c r="L7" s="76" t="str">
        <v>생산관리팀</v>
      </c>
      <c r="N7" t="str">
        <v>원효</v>
      </c>
      <c r="O7" t="str">
        <v>구매팀</v>
      </c>
      <c r="P7" t="str">
        <v>과장</v>
      </c>
      <c r="Q7" t="str">
        <v>남</v>
      </c>
      <c r="R7" s="14">
        <v>38660</v>
      </c>
      <c r="S7">
        <v>88</v>
      </c>
      <c r="T7">
        <v>74</v>
      </c>
      <c r="U7">
        <v>162</v>
      </c>
      <c r="V7">
        <v>81</v>
      </c>
    </row>
    <row r="8" spans="2:22" x14ac:dyDescent="0.3">
      <c r="B8" s="76" t="s">
        <v>18</v>
      </c>
      <c r="C8" s="76" t="s">
        <v>14</v>
      </c>
      <c r="D8" s="76" t="s">
        <v>11</v>
      </c>
      <c r="E8" s="76" t="s">
        <v>15</v>
      </c>
      <c r="F8" s="77">
        <v>42269</v>
      </c>
      <c r="G8" s="76">
        <v>89</v>
      </c>
      <c r="H8" s="76">
        <v>82</v>
      </c>
      <c r="I8" s="76">
        <v>171</v>
      </c>
      <c r="J8" s="76">
        <v>85.5</v>
      </c>
      <c r="K8" s="76"/>
      <c r="L8" s="76" t="str">
        <v>영업1팀</v>
      </c>
      <c r="N8" t="str">
        <v>혜초</v>
      </c>
      <c r="O8" t="str">
        <v>구매팀</v>
      </c>
      <c r="P8" t="str">
        <v>대리</v>
      </c>
      <c r="Q8" t="str">
        <v>남</v>
      </c>
      <c r="R8" s="14">
        <v>38889</v>
      </c>
      <c r="S8">
        <v>62</v>
      </c>
      <c r="T8">
        <v>70</v>
      </c>
      <c r="U8">
        <v>132</v>
      </c>
      <c r="V8">
        <v>66</v>
      </c>
    </row>
    <row r="9" spans="2:22" x14ac:dyDescent="0.3">
      <c r="B9" s="76" t="s">
        <v>19</v>
      </c>
      <c r="C9" s="76" t="s">
        <v>14</v>
      </c>
      <c r="D9" s="76" t="s">
        <v>20</v>
      </c>
      <c r="E9" s="76" t="s">
        <v>12</v>
      </c>
      <c r="F9" s="77">
        <v>35622</v>
      </c>
      <c r="G9" s="76">
        <v>93</v>
      </c>
      <c r="H9" s="76">
        <v>84</v>
      </c>
      <c r="I9" s="76">
        <v>177</v>
      </c>
      <c r="J9" s="76">
        <v>88.5</v>
      </c>
      <c r="K9" s="76"/>
      <c r="L9" s="76" t="str">
        <v>경영정보팀</v>
      </c>
      <c r="N9" t="str">
        <v>장보고</v>
      </c>
      <c r="O9" t="str">
        <v>구매팀</v>
      </c>
      <c r="P9" t="str">
        <v>대리</v>
      </c>
      <c r="Q9" t="str">
        <v>남</v>
      </c>
      <c r="R9" s="14">
        <v>38912</v>
      </c>
      <c r="S9">
        <v>85</v>
      </c>
      <c r="T9">
        <v>94</v>
      </c>
      <c r="U9">
        <v>179</v>
      </c>
      <c r="V9">
        <v>89.5</v>
      </c>
    </row>
    <row r="10" spans="2:22" x14ac:dyDescent="0.3">
      <c r="B10" s="76" t="s">
        <v>21</v>
      </c>
      <c r="C10" s="76" t="s">
        <v>22</v>
      </c>
      <c r="D10" s="76" t="s">
        <v>23</v>
      </c>
      <c r="E10" s="76" t="s">
        <v>12</v>
      </c>
      <c r="F10" s="77">
        <v>39708</v>
      </c>
      <c r="G10" s="76">
        <v>77</v>
      </c>
      <c r="H10" s="76">
        <v>70</v>
      </c>
      <c r="I10" s="76">
        <v>147</v>
      </c>
      <c r="J10" s="76">
        <v>73.5</v>
      </c>
      <c r="K10" s="76"/>
      <c r="L10" s="76" t="str">
        <v>영업2팀</v>
      </c>
      <c r="N10" t="str">
        <v>대조영</v>
      </c>
      <c r="O10" t="str">
        <v>구매팀</v>
      </c>
      <c r="P10" t="str">
        <v>사원</v>
      </c>
      <c r="Q10" t="str">
        <v>여</v>
      </c>
      <c r="R10" s="14">
        <v>40869</v>
      </c>
      <c r="S10">
        <v>67</v>
      </c>
      <c r="T10">
        <v>67</v>
      </c>
      <c r="U10">
        <v>134</v>
      </c>
      <c r="V10">
        <v>67</v>
      </c>
    </row>
    <row r="11" spans="2:22" x14ac:dyDescent="0.3">
      <c r="B11" s="76" t="s">
        <v>24</v>
      </c>
      <c r="C11" s="76" t="s">
        <v>25</v>
      </c>
      <c r="D11" s="76" t="s">
        <v>11</v>
      </c>
      <c r="E11" s="76" t="s">
        <v>12</v>
      </c>
      <c r="F11" s="77">
        <v>42332</v>
      </c>
      <c r="G11" s="76">
        <v>82</v>
      </c>
      <c r="H11" s="76">
        <v>70</v>
      </c>
      <c r="I11" s="76">
        <v>152</v>
      </c>
      <c r="J11" s="76">
        <v>76</v>
      </c>
      <c r="K11" s="76"/>
      <c r="L11" s="76" t="str">
        <v>개발팀</v>
      </c>
      <c r="N11" t="str">
        <v>강감찬</v>
      </c>
      <c r="O11" t="str">
        <v>구매팀</v>
      </c>
      <c r="P11" t="str">
        <v>사원</v>
      </c>
      <c r="Q11" t="str">
        <v>남</v>
      </c>
      <c r="R11" s="14">
        <v>42830</v>
      </c>
      <c r="S11">
        <v>97</v>
      </c>
      <c r="T11">
        <v>70</v>
      </c>
      <c r="U11">
        <v>167</v>
      </c>
      <c r="V11">
        <v>83.5</v>
      </c>
    </row>
    <row r="12" spans="2:22" x14ac:dyDescent="0.3">
      <c r="B12" s="76" t="s">
        <v>26</v>
      </c>
      <c r="C12" s="76" t="s">
        <v>27</v>
      </c>
      <c r="D12" s="76" t="s">
        <v>11</v>
      </c>
      <c r="E12" s="76" t="s">
        <v>15</v>
      </c>
      <c r="F12" s="77">
        <v>42009</v>
      </c>
      <c r="G12" s="76">
        <v>87</v>
      </c>
      <c r="H12" s="76">
        <v>65</v>
      </c>
      <c r="I12" s="76">
        <v>152</v>
      </c>
      <c r="J12" s="76">
        <v>76</v>
      </c>
      <c r="K12" s="76"/>
      <c r="L12" s="76" t="str">
        <v>총무팀</v>
      </c>
      <c r="N12" t="str">
        <v>aaaaa</v>
      </c>
      <c r="O12" t="str">
        <v>구매팀</v>
      </c>
      <c r="P12" t="str">
        <v>사장</v>
      </c>
      <c r="Q12" t="str">
        <v>남</v>
      </c>
      <c r="R12" s="14">
        <v>42856</v>
      </c>
      <c r="S12">
        <v>100</v>
      </c>
      <c r="T12">
        <v>100</v>
      </c>
      <c r="U12">
        <v>200</v>
      </c>
      <c r="V12">
        <v>100</v>
      </c>
    </row>
    <row r="13" spans="2:22" x14ac:dyDescent="0.3">
      <c r="B13" s="76" t="s">
        <v>28</v>
      </c>
      <c r="C13" s="76" t="s">
        <v>29</v>
      </c>
      <c r="D13" s="76" t="s">
        <v>20</v>
      </c>
      <c r="E13" s="76" t="s">
        <v>12</v>
      </c>
      <c r="F13" s="77">
        <v>35270</v>
      </c>
      <c r="G13" s="76">
        <v>100</v>
      </c>
      <c r="H13" s="76">
        <v>79</v>
      </c>
      <c r="I13" s="76">
        <v>179</v>
      </c>
      <c r="J13" s="76">
        <v>89.5</v>
      </c>
      <c r="K13" s="76"/>
      <c r="L13" s="76" t="str">
        <v>운영팀</v>
      </c>
      <c r="N13"/>
      <c r="O13"/>
      <c r="P13"/>
      <c r="Q13"/>
      <c r="R13" s="14"/>
      <c r="S13"/>
      <c r="T13"/>
      <c r="U13"/>
      <c r="V13"/>
    </row>
    <row r="14" spans="2:22" x14ac:dyDescent="0.3">
      <c r="B14" s="76" t="s">
        <v>30</v>
      </c>
      <c r="C14" s="76" t="s">
        <v>25</v>
      </c>
      <c r="D14" s="76" t="s">
        <v>31</v>
      </c>
      <c r="E14" s="76" t="s">
        <v>15</v>
      </c>
      <c r="F14" s="77">
        <v>37421</v>
      </c>
      <c r="G14" s="76">
        <v>78</v>
      </c>
      <c r="H14" s="76">
        <v>84</v>
      </c>
      <c r="I14" s="76">
        <v>162</v>
      </c>
      <c r="J14" s="76">
        <v>81</v>
      </c>
      <c r="K14" s="76"/>
      <c r="L14" s="76" t="str">
        <v>홍보팀</v>
      </c>
      <c r="N14"/>
      <c r="O14"/>
      <c r="P14"/>
      <c r="Q14"/>
      <c r="R14" s="14"/>
      <c r="S14"/>
      <c r="T14"/>
      <c r="U14"/>
      <c r="V14"/>
    </row>
    <row r="15" spans="2:22" x14ac:dyDescent="0.3">
      <c r="B15" s="76" t="s">
        <v>32</v>
      </c>
      <c r="C15" s="76" t="s">
        <v>25</v>
      </c>
      <c r="D15" s="76" t="s">
        <v>11</v>
      </c>
      <c r="E15" s="76" t="s">
        <v>15</v>
      </c>
      <c r="F15" s="77">
        <v>40703</v>
      </c>
      <c r="G15" s="76">
        <v>71</v>
      </c>
      <c r="H15" s="76">
        <v>92</v>
      </c>
      <c r="I15" s="76">
        <v>163</v>
      </c>
      <c r="J15" s="76">
        <v>81.5</v>
      </c>
      <c r="K15" s="76"/>
      <c r="L15" s="76"/>
      <c r="N15"/>
      <c r="O15"/>
      <c r="P15"/>
      <c r="Q15"/>
      <c r="R15" s="14"/>
      <c r="S15"/>
      <c r="T15"/>
      <c r="U15"/>
      <c r="V15"/>
    </row>
    <row r="16" spans="2:22" x14ac:dyDescent="0.3">
      <c r="B16" s="76" t="s">
        <v>33</v>
      </c>
      <c r="C16" s="76" t="s">
        <v>10</v>
      </c>
      <c r="D16" s="76" t="s">
        <v>20</v>
      </c>
      <c r="E16" s="76" t="s">
        <v>15</v>
      </c>
      <c r="F16" s="77">
        <v>35786</v>
      </c>
      <c r="G16" s="76">
        <v>66</v>
      </c>
      <c r="H16" s="76">
        <v>91</v>
      </c>
      <c r="I16" s="76">
        <v>157</v>
      </c>
      <c r="J16" s="76">
        <v>78.5</v>
      </c>
      <c r="K16" s="76"/>
      <c r="L16" s="76"/>
      <c r="N16"/>
      <c r="O16"/>
      <c r="P16"/>
      <c r="Q16"/>
      <c r="R16" s="14"/>
      <c r="S16"/>
      <c r="T16"/>
      <c r="U16"/>
      <c r="V16"/>
    </row>
    <row r="17" spans="2:22" x14ac:dyDescent="0.3">
      <c r="B17" s="76" t="s">
        <v>34</v>
      </c>
      <c r="C17" s="76" t="s">
        <v>25</v>
      </c>
      <c r="D17" s="76" t="s">
        <v>35</v>
      </c>
      <c r="E17" s="76" t="s">
        <v>12</v>
      </c>
      <c r="F17" s="77">
        <v>37421</v>
      </c>
      <c r="G17" s="76">
        <v>78</v>
      </c>
      <c r="H17" s="76">
        <v>97</v>
      </c>
      <c r="I17" s="76">
        <v>175</v>
      </c>
      <c r="J17" s="76">
        <v>87.5</v>
      </c>
      <c r="K17" s="76"/>
      <c r="L17" s="76"/>
      <c r="N17"/>
      <c r="O17"/>
      <c r="P17"/>
      <c r="Q17"/>
      <c r="R17" s="14"/>
      <c r="S17"/>
      <c r="T17"/>
      <c r="U17"/>
      <c r="V17"/>
    </row>
    <row r="18" spans="2:22" x14ac:dyDescent="0.3">
      <c r="B18" s="76" t="s">
        <v>36</v>
      </c>
      <c r="C18" s="76" t="s">
        <v>22</v>
      </c>
      <c r="D18" s="76" t="s">
        <v>35</v>
      </c>
      <c r="E18" s="76" t="s">
        <v>15</v>
      </c>
      <c r="F18" s="77">
        <v>38810</v>
      </c>
      <c r="G18" s="76">
        <v>74</v>
      </c>
      <c r="H18" s="76">
        <v>63</v>
      </c>
      <c r="I18" s="76">
        <v>137</v>
      </c>
      <c r="J18" s="76">
        <v>68.5</v>
      </c>
      <c r="K18" s="76"/>
      <c r="L18" s="76"/>
      <c r="N18"/>
      <c r="O18"/>
      <c r="P18"/>
      <c r="Q18"/>
      <c r="R18" s="14"/>
      <c r="S18"/>
      <c r="T18"/>
      <c r="U18"/>
      <c r="V18"/>
    </row>
    <row r="19" spans="2:22" x14ac:dyDescent="0.3">
      <c r="B19" s="76" t="s">
        <v>37</v>
      </c>
      <c r="C19" s="76" t="s">
        <v>38</v>
      </c>
      <c r="D19" s="76" t="s">
        <v>20</v>
      </c>
      <c r="E19" s="76" t="s">
        <v>15</v>
      </c>
      <c r="F19" s="77">
        <v>35997</v>
      </c>
      <c r="G19" s="76">
        <v>80</v>
      </c>
      <c r="H19" s="76">
        <v>74</v>
      </c>
      <c r="I19" s="76">
        <v>154</v>
      </c>
      <c r="J19" s="76">
        <v>77</v>
      </c>
      <c r="K19" s="76"/>
      <c r="L19" s="76"/>
      <c r="N19"/>
      <c r="O19"/>
      <c r="P19"/>
      <c r="Q19"/>
      <c r="R19" s="14"/>
      <c r="S19"/>
      <c r="T19"/>
      <c r="U19"/>
      <c r="V19"/>
    </row>
    <row r="20" spans="2:22" x14ac:dyDescent="0.3">
      <c r="B20" s="76" t="s">
        <v>39</v>
      </c>
      <c r="C20" s="76" t="s">
        <v>25</v>
      </c>
      <c r="D20" s="76" t="s">
        <v>31</v>
      </c>
      <c r="E20" s="76" t="s">
        <v>12</v>
      </c>
      <c r="F20" s="77">
        <v>36313</v>
      </c>
      <c r="G20" s="76">
        <v>89</v>
      </c>
      <c r="H20" s="76">
        <v>65</v>
      </c>
      <c r="I20" s="76">
        <v>154</v>
      </c>
      <c r="J20" s="76">
        <v>77</v>
      </c>
      <c r="K20" s="76"/>
      <c r="L20" s="76"/>
      <c r="N20"/>
      <c r="O20"/>
      <c r="P20"/>
      <c r="Q20"/>
      <c r="R20" s="14"/>
      <c r="S20"/>
      <c r="T20"/>
      <c r="U20"/>
      <c r="V20"/>
    </row>
    <row r="21" spans="2:22" x14ac:dyDescent="0.3">
      <c r="B21" s="76" t="s">
        <v>40</v>
      </c>
      <c r="C21" s="76" t="s">
        <v>10</v>
      </c>
      <c r="D21" s="76" t="s">
        <v>11</v>
      </c>
      <c r="E21" s="76" t="s">
        <v>15</v>
      </c>
      <c r="F21" s="77">
        <v>40869</v>
      </c>
      <c r="G21" s="76">
        <v>67</v>
      </c>
      <c r="H21" s="76">
        <v>67</v>
      </c>
      <c r="I21" s="76">
        <v>134</v>
      </c>
      <c r="J21" s="76">
        <v>67</v>
      </c>
      <c r="K21" s="76"/>
      <c r="L21" s="76"/>
      <c r="N21"/>
      <c r="O21"/>
      <c r="P21"/>
      <c r="Q21"/>
      <c r="R21" s="14"/>
      <c r="S21"/>
      <c r="T21"/>
      <c r="U21"/>
      <c r="V21"/>
    </row>
    <row r="22" spans="2:22" x14ac:dyDescent="0.3">
      <c r="B22" s="76" t="s">
        <v>41</v>
      </c>
      <c r="C22" s="76" t="s">
        <v>38</v>
      </c>
      <c r="D22" s="76" t="s">
        <v>35</v>
      </c>
      <c r="E22" s="76" t="s">
        <v>15</v>
      </c>
      <c r="F22" s="77">
        <v>37523</v>
      </c>
      <c r="G22" s="76">
        <v>70</v>
      </c>
      <c r="H22" s="76">
        <v>90</v>
      </c>
      <c r="I22" s="76">
        <v>160</v>
      </c>
      <c r="J22" s="76">
        <v>80</v>
      </c>
      <c r="K22" s="76"/>
      <c r="L22" s="76"/>
      <c r="N22"/>
      <c r="O22"/>
      <c r="P22"/>
      <c r="Q22"/>
      <c r="R22" s="14"/>
      <c r="S22"/>
      <c r="T22"/>
      <c r="U22"/>
      <c r="V22"/>
    </row>
    <row r="23" spans="2:22" x14ac:dyDescent="0.3">
      <c r="B23" s="76" t="s">
        <v>42</v>
      </c>
      <c r="C23" s="76" t="s">
        <v>17</v>
      </c>
      <c r="D23" s="76" t="s">
        <v>20</v>
      </c>
      <c r="E23" s="76" t="s">
        <v>12</v>
      </c>
      <c r="F23" s="77">
        <v>35083</v>
      </c>
      <c r="G23" s="76">
        <v>73</v>
      </c>
      <c r="H23" s="76">
        <v>72</v>
      </c>
      <c r="I23" s="76">
        <v>145</v>
      </c>
      <c r="J23" s="76">
        <v>72.5</v>
      </c>
      <c r="K23" s="76"/>
      <c r="L23" s="76"/>
      <c r="N23"/>
      <c r="O23"/>
      <c r="P23"/>
      <c r="Q23"/>
      <c r="R23" s="14"/>
      <c r="S23"/>
      <c r="T23"/>
      <c r="U23"/>
      <c r="V23"/>
    </row>
    <row r="24" spans="2:22" x14ac:dyDescent="0.3">
      <c r="B24" s="76" t="s">
        <v>43</v>
      </c>
      <c r="C24" s="76" t="s">
        <v>10</v>
      </c>
      <c r="D24" s="76" t="s">
        <v>31</v>
      </c>
      <c r="E24" s="76" t="s">
        <v>12</v>
      </c>
      <c r="F24" s="77">
        <v>35613</v>
      </c>
      <c r="G24" s="76">
        <v>72</v>
      </c>
      <c r="H24" s="76">
        <v>91</v>
      </c>
      <c r="I24" s="76">
        <v>163</v>
      </c>
      <c r="J24" s="76">
        <v>81.5</v>
      </c>
      <c r="K24" s="76"/>
      <c r="L24" s="76"/>
      <c r="N24"/>
      <c r="O24"/>
      <c r="P24"/>
      <c r="Q24"/>
      <c r="R24" s="14"/>
      <c r="S24"/>
      <c r="T24"/>
      <c r="U24"/>
      <c r="V24"/>
    </row>
    <row r="25" spans="2:22" x14ac:dyDescent="0.3">
      <c r="B25" s="76" t="s">
        <v>44</v>
      </c>
      <c r="C25" s="76" t="s">
        <v>29</v>
      </c>
      <c r="D25" s="76" t="s">
        <v>31</v>
      </c>
      <c r="E25" s="76" t="s">
        <v>12</v>
      </c>
      <c r="F25" s="77">
        <v>36993</v>
      </c>
      <c r="G25" s="76">
        <v>83</v>
      </c>
      <c r="H25" s="76">
        <v>93</v>
      </c>
      <c r="I25" s="76">
        <v>176</v>
      </c>
      <c r="J25" s="76">
        <v>88</v>
      </c>
      <c r="K25" s="76"/>
      <c r="L25" s="76"/>
      <c r="N25"/>
      <c r="O25"/>
      <c r="P25"/>
      <c r="Q25"/>
      <c r="R25" s="14"/>
      <c r="S25"/>
      <c r="T25"/>
      <c r="U25"/>
      <c r="V25"/>
    </row>
    <row r="26" spans="2:22" x14ac:dyDescent="0.3">
      <c r="B26" s="76" t="s">
        <v>45</v>
      </c>
      <c r="C26" s="76" t="s">
        <v>22</v>
      </c>
      <c r="D26" s="76" t="s">
        <v>11</v>
      </c>
      <c r="E26" s="76" t="s">
        <v>12</v>
      </c>
      <c r="F26" s="77">
        <v>41312</v>
      </c>
      <c r="G26" s="76">
        <v>92</v>
      </c>
      <c r="H26" s="76">
        <v>99</v>
      </c>
      <c r="I26" s="76">
        <v>191</v>
      </c>
      <c r="J26" s="76">
        <v>95.5</v>
      </c>
      <c r="K26" s="76"/>
      <c r="L26" s="76"/>
      <c r="N26"/>
      <c r="O26"/>
      <c r="P26"/>
      <c r="Q26"/>
      <c r="R26" s="14"/>
      <c r="S26"/>
      <c r="T26"/>
      <c r="U26"/>
      <c r="V26"/>
    </row>
    <row r="27" spans="2:22" x14ac:dyDescent="0.3">
      <c r="B27" s="76" t="s">
        <v>46</v>
      </c>
      <c r="C27" s="76" t="s">
        <v>38</v>
      </c>
      <c r="D27" s="76" t="s">
        <v>11</v>
      </c>
      <c r="E27" s="76" t="s">
        <v>15</v>
      </c>
      <c r="F27" s="77">
        <v>41278</v>
      </c>
      <c r="G27" s="76">
        <v>91</v>
      </c>
      <c r="H27" s="76">
        <v>60</v>
      </c>
      <c r="I27" s="76">
        <v>151</v>
      </c>
      <c r="J27" s="76">
        <v>75.5</v>
      </c>
      <c r="K27" s="76"/>
      <c r="L27" s="76"/>
      <c r="N27"/>
      <c r="O27"/>
      <c r="P27"/>
      <c r="Q27"/>
      <c r="R27" s="14"/>
      <c r="S27"/>
      <c r="T27"/>
      <c r="U27"/>
      <c r="V27"/>
    </row>
    <row r="28" spans="2:22" x14ac:dyDescent="0.3">
      <c r="B28" s="76" t="s">
        <v>47</v>
      </c>
      <c r="C28" s="76" t="s">
        <v>27</v>
      </c>
      <c r="D28" s="76" t="s">
        <v>23</v>
      </c>
      <c r="E28" s="76" t="s">
        <v>15</v>
      </c>
      <c r="F28" s="77">
        <v>40816</v>
      </c>
      <c r="G28" s="76">
        <v>69</v>
      </c>
      <c r="H28" s="76">
        <v>86</v>
      </c>
      <c r="I28" s="76">
        <v>155</v>
      </c>
      <c r="J28" s="76">
        <v>77.5</v>
      </c>
      <c r="K28" s="76"/>
      <c r="L28" s="76"/>
      <c r="N28"/>
      <c r="O28"/>
      <c r="P28"/>
      <c r="Q28"/>
      <c r="R28" s="14"/>
      <c r="S28"/>
      <c r="T28"/>
      <c r="U28"/>
      <c r="V28"/>
    </row>
    <row r="29" spans="2:22" x14ac:dyDescent="0.3">
      <c r="B29" s="76" t="s">
        <v>48</v>
      </c>
      <c r="C29" s="76" t="s">
        <v>14</v>
      </c>
      <c r="D29" s="76" t="s">
        <v>35</v>
      </c>
      <c r="E29" s="76" t="s">
        <v>12</v>
      </c>
      <c r="F29" s="77">
        <v>38980</v>
      </c>
      <c r="G29" s="76">
        <v>87</v>
      </c>
      <c r="H29" s="76">
        <v>92</v>
      </c>
      <c r="I29" s="76">
        <v>179</v>
      </c>
      <c r="J29" s="76">
        <v>89.5</v>
      </c>
      <c r="K29" s="76"/>
      <c r="L29" s="76"/>
      <c r="N29"/>
      <c r="O29"/>
      <c r="P29"/>
      <c r="Q29"/>
      <c r="R29" s="14"/>
      <c r="S29"/>
      <c r="T29"/>
      <c r="U29"/>
      <c r="V29"/>
    </row>
    <row r="30" spans="2:22" x14ac:dyDescent="0.3">
      <c r="B30" s="76" t="s">
        <v>49</v>
      </c>
      <c r="C30" s="76" t="s">
        <v>22</v>
      </c>
      <c r="D30" s="76" t="s">
        <v>31</v>
      </c>
      <c r="E30" s="76" t="s">
        <v>15</v>
      </c>
      <c r="F30" s="77">
        <v>37049</v>
      </c>
      <c r="G30" s="76">
        <v>92</v>
      </c>
      <c r="H30" s="76">
        <v>91</v>
      </c>
      <c r="I30" s="76">
        <v>183</v>
      </c>
      <c r="J30" s="76">
        <v>91.5</v>
      </c>
      <c r="K30" s="76"/>
      <c r="L30" s="76"/>
      <c r="N30"/>
      <c r="O30"/>
      <c r="P30"/>
      <c r="Q30"/>
      <c r="R30" s="14"/>
      <c r="S30"/>
      <c r="T30"/>
      <c r="U30"/>
      <c r="V30"/>
    </row>
    <row r="31" spans="2:22" x14ac:dyDescent="0.3">
      <c r="B31" s="76" t="s">
        <v>50</v>
      </c>
      <c r="C31" s="76" t="s">
        <v>22</v>
      </c>
      <c r="D31" s="76" t="s">
        <v>11</v>
      </c>
      <c r="E31" s="76" t="s">
        <v>12</v>
      </c>
      <c r="F31" s="77">
        <v>41568</v>
      </c>
      <c r="G31" s="76">
        <v>78</v>
      </c>
      <c r="H31" s="76">
        <v>78</v>
      </c>
      <c r="I31" s="76">
        <v>156</v>
      </c>
      <c r="J31" s="76">
        <v>78</v>
      </c>
      <c r="K31" s="76"/>
      <c r="L31" s="76"/>
      <c r="N31"/>
      <c r="O31"/>
      <c r="P31"/>
      <c r="Q31"/>
      <c r="R31" s="14"/>
      <c r="S31"/>
      <c r="T31"/>
      <c r="U31"/>
      <c r="V31"/>
    </row>
    <row r="32" spans="2:22" x14ac:dyDescent="0.3">
      <c r="B32" s="76" t="s">
        <v>51</v>
      </c>
      <c r="C32" s="76" t="s">
        <v>22</v>
      </c>
      <c r="D32" s="76" t="s">
        <v>35</v>
      </c>
      <c r="E32" s="76" t="s">
        <v>12</v>
      </c>
      <c r="F32" s="77">
        <v>37418</v>
      </c>
      <c r="G32" s="76">
        <v>81</v>
      </c>
      <c r="H32" s="76">
        <v>78</v>
      </c>
      <c r="I32" s="76">
        <v>159</v>
      </c>
      <c r="J32" s="76">
        <v>79.5</v>
      </c>
      <c r="K32" s="76"/>
      <c r="L32" s="76"/>
      <c r="N32"/>
      <c r="O32"/>
      <c r="P32"/>
      <c r="Q32"/>
      <c r="R32" s="14"/>
      <c r="S32"/>
      <c r="T32"/>
      <c r="U32"/>
      <c r="V32"/>
    </row>
    <row r="33" spans="2:22" x14ac:dyDescent="0.3">
      <c r="B33" s="76" t="s">
        <v>52</v>
      </c>
      <c r="C33" s="76" t="s">
        <v>53</v>
      </c>
      <c r="D33" s="76" t="s">
        <v>20</v>
      </c>
      <c r="E33" s="76" t="s">
        <v>15</v>
      </c>
      <c r="F33" s="77">
        <v>35235</v>
      </c>
      <c r="G33" s="76">
        <v>88</v>
      </c>
      <c r="H33" s="76">
        <v>92</v>
      </c>
      <c r="I33" s="76">
        <v>180</v>
      </c>
      <c r="J33" s="76">
        <v>90</v>
      </c>
      <c r="K33" s="76"/>
      <c r="L33" s="76"/>
      <c r="N33"/>
      <c r="O33"/>
      <c r="P33"/>
      <c r="Q33"/>
      <c r="R33" s="14"/>
      <c r="S33"/>
      <c r="T33"/>
      <c r="U33"/>
      <c r="V33"/>
    </row>
    <row r="34" spans="2:22" x14ac:dyDescent="0.3">
      <c r="B34" s="76" t="s">
        <v>54</v>
      </c>
      <c r="C34" s="76" t="s">
        <v>27</v>
      </c>
      <c r="D34" s="76" t="s">
        <v>35</v>
      </c>
      <c r="E34" s="76" t="s">
        <v>12</v>
      </c>
      <c r="F34" s="77">
        <v>38672</v>
      </c>
      <c r="G34" s="76">
        <v>75</v>
      </c>
      <c r="H34" s="76">
        <v>70</v>
      </c>
      <c r="I34" s="76">
        <v>145</v>
      </c>
      <c r="J34" s="76">
        <v>72.5</v>
      </c>
      <c r="K34" s="76"/>
      <c r="L34" s="76"/>
      <c r="N34"/>
      <c r="O34"/>
      <c r="P34"/>
      <c r="Q34"/>
      <c r="R34" s="14"/>
      <c r="S34"/>
      <c r="T34"/>
      <c r="U34"/>
      <c r="V34"/>
    </row>
    <row r="35" spans="2:22" x14ac:dyDescent="0.3">
      <c r="B35" s="76" t="s">
        <v>55</v>
      </c>
      <c r="C35" s="76" t="s">
        <v>17</v>
      </c>
      <c r="D35" s="76" t="s">
        <v>23</v>
      </c>
      <c r="E35" s="76" t="s">
        <v>12</v>
      </c>
      <c r="F35" s="77">
        <v>40826</v>
      </c>
      <c r="G35" s="76">
        <v>94</v>
      </c>
      <c r="H35" s="76">
        <v>84</v>
      </c>
      <c r="I35" s="76">
        <v>178</v>
      </c>
      <c r="J35" s="76">
        <v>89</v>
      </c>
      <c r="K35" s="76"/>
      <c r="L35" s="76"/>
      <c r="N35"/>
      <c r="O35"/>
      <c r="P35"/>
      <c r="Q35"/>
      <c r="R35" s="14"/>
      <c r="S35"/>
      <c r="T35"/>
      <c r="U35"/>
      <c r="V35"/>
    </row>
    <row r="36" spans="2:22" x14ac:dyDescent="0.3">
      <c r="B36" s="76" t="s">
        <v>56</v>
      </c>
      <c r="C36" s="76" t="s">
        <v>17</v>
      </c>
      <c r="D36" s="76" t="s">
        <v>35</v>
      </c>
      <c r="E36" s="76" t="s">
        <v>15</v>
      </c>
      <c r="F36" s="77">
        <v>38758</v>
      </c>
      <c r="G36" s="76">
        <v>67</v>
      </c>
      <c r="H36" s="76">
        <v>74</v>
      </c>
      <c r="I36" s="76">
        <v>141</v>
      </c>
      <c r="J36" s="76">
        <v>70.5</v>
      </c>
      <c r="K36" s="76"/>
      <c r="L36" s="76"/>
      <c r="N36"/>
      <c r="O36"/>
      <c r="P36"/>
      <c r="Q36"/>
      <c r="R36" s="14"/>
      <c r="S36"/>
      <c r="T36"/>
      <c r="U36"/>
      <c r="V36"/>
    </row>
    <row r="37" spans="2:22" x14ac:dyDescent="0.3">
      <c r="B37" s="76" t="s">
        <v>57</v>
      </c>
      <c r="C37" s="76" t="s">
        <v>27</v>
      </c>
      <c r="D37" s="76" t="s">
        <v>20</v>
      </c>
      <c r="E37" s="76" t="s">
        <v>12</v>
      </c>
      <c r="F37" s="77">
        <v>35257</v>
      </c>
      <c r="G37" s="76">
        <v>73</v>
      </c>
      <c r="H37" s="76">
        <v>99</v>
      </c>
      <c r="I37" s="76">
        <v>172</v>
      </c>
      <c r="J37" s="76">
        <v>86</v>
      </c>
      <c r="K37" s="76"/>
      <c r="L37" s="76"/>
      <c r="N37"/>
      <c r="O37"/>
      <c r="P37"/>
      <c r="Q37"/>
      <c r="R37" s="14"/>
      <c r="S37"/>
      <c r="T37"/>
      <c r="U37"/>
      <c r="V37"/>
    </row>
    <row r="38" spans="2:22" x14ac:dyDescent="0.3">
      <c r="B38" s="76" t="s">
        <v>58</v>
      </c>
      <c r="C38" s="76" t="s">
        <v>27</v>
      </c>
      <c r="D38" s="76" t="s">
        <v>23</v>
      </c>
      <c r="E38" s="76" t="s">
        <v>15</v>
      </c>
      <c r="F38" s="77">
        <v>39168</v>
      </c>
      <c r="G38" s="76">
        <v>87</v>
      </c>
      <c r="H38" s="76">
        <v>87</v>
      </c>
      <c r="I38" s="76">
        <v>174</v>
      </c>
      <c r="J38" s="76">
        <v>87</v>
      </c>
      <c r="K38" s="76"/>
      <c r="L38" s="76"/>
      <c r="N38"/>
      <c r="O38"/>
      <c r="P38"/>
      <c r="Q38"/>
      <c r="R38" s="14"/>
      <c r="S38"/>
      <c r="T38"/>
      <c r="U38"/>
      <c r="V38"/>
    </row>
    <row r="39" spans="2:22" x14ac:dyDescent="0.3">
      <c r="B39" s="76" t="s">
        <v>59</v>
      </c>
      <c r="C39" s="76" t="s">
        <v>25</v>
      </c>
      <c r="D39" s="76" t="s">
        <v>35</v>
      </c>
      <c r="E39" s="76" t="s">
        <v>12</v>
      </c>
      <c r="F39" s="77">
        <v>37335</v>
      </c>
      <c r="G39" s="76">
        <v>91</v>
      </c>
      <c r="H39" s="76">
        <v>77</v>
      </c>
      <c r="I39" s="76">
        <v>168</v>
      </c>
      <c r="J39" s="76">
        <v>84</v>
      </c>
      <c r="K39" s="76"/>
      <c r="L39" s="76"/>
      <c r="N39"/>
      <c r="O39"/>
      <c r="P39"/>
      <c r="Q39"/>
      <c r="R39" s="14"/>
      <c r="S39"/>
      <c r="T39"/>
      <c r="U39"/>
      <c r="V39"/>
    </row>
    <row r="40" spans="2:22" x14ac:dyDescent="0.3">
      <c r="B40" s="76" t="s">
        <v>60</v>
      </c>
      <c r="C40" s="76" t="s">
        <v>53</v>
      </c>
      <c r="D40" s="76" t="s">
        <v>11</v>
      </c>
      <c r="E40" s="76" t="s">
        <v>12</v>
      </c>
      <c r="F40" s="77">
        <v>40710</v>
      </c>
      <c r="G40" s="76">
        <v>66</v>
      </c>
      <c r="H40" s="76">
        <v>71</v>
      </c>
      <c r="I40" s="76">
        <v>137</v>
      </c>
      <c r="J40" s="76">
        <v>68.5</v>
      </c>
      <c r="K40" s="76"/>
      <c r="L40" s="76"/>
      <c r="N40"/>
      <c r="O40"/>
      <c r="P40"/>
      <c r="Q40"/>
      <c r="R40" s="14"/>
      <c r="S40"/>
      <c r="T40"/>
      <c r="U40"/>
      <c r="V40"/>
    </row>
    <row r="41" spans="2:22" x14ac:dyDescent="0.3">
      <c r="B41" s="76" t="s">
        <v>61</v>
      </c>
      <c r="C41" s="76" t="s">
        <v>38</v>
      </c>
      <c r="D41" s="76" t="s">
        <v>23</v>
      </c>
      <c r="E41" s="76" t="s">
        <v>15</v>
      </c>
      <c r="F41" s="77">
        <v>40788</v>
      </c>
      <c r="G41" s="76">
        <v>67</v>
      </c>
      <c r="H41" s="76">
        <v>60</v>
      </c>
      <c r="I41" s="76">
        <v>127</v>
      </c>
      <c r="J41" s="76">
        <v>63.5</v>
      </c>
      <c r="K41" s="76"/>
      <c r="L41" s="76"/>
      <c r="N41"/>
      <c r="O41"/>
      <c r="P41"/>
      <c r="Q41"/>
      <c r="R41" s="14"/>
      <c r="S41"/>
      <c r="T41"/>
      <c r="U41"/>
      <c r="V41"/>
    </row>
    <row r="42" spans="2:22" x14ac:dyDescent="0.3">
      <c r="B42" s="76" t="s">
        <v>62</v>
      </c>
      <c r="C42" s="76" t="s">
        <v>10</v>
      </c>
      <c r="D42" s="76" t="s">
        <v>35</v>
      </c>
      <c r="E42" s="76" t="s">
        <v>12</v>
      </c>
      <c r="F42" s="77">
        <v>38660</v>
      </c>
      <c r="G42" s="76">
        <v>88</v>
      </c>
      <c r="H42" s="76">
        <v>74</v>
      </c>
      <c r="I42" s="76">
        <v>162</v>
      </c>
      <c r="J42" s="76">
        <v>81</v>
      </c>
      <c r="K42" s="76"/>
      <c r="L42" s="76"/>
      <c r="N42"/>
      <c r="O42"/>
      <c r="P42"/>
      <c r="Q42"/>
      <c r="R42" s="14"/>
      <c r="S42"/>
      <c r="T42"/>
      <c r="U42"/>
      <c r="V42"/>
    </row>
    <row r="43" spans="2:22" x14ac:dyDescent="0.3">
      <c r="B43" s="76" t="s">
        <v>63</v>
      </c>
      <c r="C43" s="76" t="s">
        <v>27</v>
      </c>
      <c r="D43" s="76" t="s">
        <v>23</v>
      </c>
      <c r="E43" s="76" t="s">
        <v>12</v>
      </c>
      <c r="F43" s="77">
        <v>38891</v>
      </c>
      <c r="G43" s="76">
        <v>92</v>
      </c>
      <c r="H43" s="76">
        <v>94</v>
      </c>
      <c r="I43" s="76">
        <v>186</v>
      </c>
      <c r="J43" s="76">
        <v>93</v>
      </c>
      <c r="K43" s="76"/>
      <c r="L43" s="76"/>
      <c r="N43"/>
      <c r="O43"/>
      <c r="P43"/>
      <c r="Q43"/>
      <c r="R43" s="14"/>
      <c r="S43"/>
      <c r="T43"/>
      <c r="U43"/>
      <c r="V43"/>
    </row>
    <row r="44" spans="2:22" x14ac:dyDescent="0.3">
      <c r="B44" s="76" t="s">
        <v>64</v>
      </c>
      <c r="C44" s="76" t="s">
        <v>27</v>
      </c>
      <c r="D44" s="76" t="s">
        <v>31</v>
      </c>
      <c r="E44" s="76" t="s">
        <v>12</v>
      </c>
      <c r="F44" s="77">
        <v>36171</v>
      </c>
      <c r="G44" s="76">
        <v>84</v>
      </c>
      <c r="H44" s="76">
        <v>94</v>
      </c>
      <c r="I44" s="76">
        <v>178</v>
      </c>
      <c r="J44" s="76">
        <v>89</v>
      </c>
      <c r="K44" s="76"/>
      <c r="L44" s="76"/>
      <c r="N44"/>
      <c r="O44"/>
      <c r="P44"/>
      <c r="Q44"/>
      <c r="R44" s="14"/>
      <c r="S44"/>
      <c r="T44"/>
      <c r="U44"/>
      <c r="V44"/>
    </row>
    <row r="45" spans="2:22" x14ac:dyDescent="0.3">
      <c r="B45" s="76" t="s">
        <v>65</v>
      </c>
      <c r="C45" s="76" t="s">
        <v>14</v>
      </c>
      <c r="D45" s="76" t="s">
        <v>23</v>
      </c>
      <c r="E45" s="76" t="s">
        <v>12</v>
      </c>
      <c r="F45" s="77">
        <v>39157</v>
      </c>
      <c r="G45" s="76">
        <v>84</v>
      </c>
      <c r="H45" s="76">
        <v>62</v>
      </c>
      <c r="I45" s="76">
        <v>146</v>
      </c>
      <c r="J45" s="76">
        <v>73</v>
      </c>
      <c r="K45" s="76"/>
      <c r="L45" s="76"/>
      <c r="N45"/>
      <c r="O45"/>
      <c r="P45"/>
      <c r="Q45"/>
      <c r="R45" s="14"/>
      <c r="S45"/>
      <c r="T45"/>
      <c r="U45"/>
      <c r="V45"/>
    </row>
    <row r="46" spans="2:22" x14ac:dyDescent="0.3">
      <c r="B46" s="76" t="s">
        <v>66</v>
      </c>
      <c r="C46" s="76" t="s">
        <v>27</v>
      </c>
      <c r="D46" s="76" t="s">
        <v>11</v>
      </c>
      <c r="E46" s="76" t="s">
        <v>12</v>
      </c>
      <c r="F46" s="77">
        <v>41589</v>
      </c>
      <c r="G46" s="76">
        <v>68</v>
      </c>
      <c r="H46" s="76">
        <v>73</v>
      </c>
      <c r="I46" s="76">
        <v>141</v>
      </c>
      <c r="J46" s="76">
        <v>70.5</v>
      </c>
      <c r="K46" s="76"/>
      <c r="L46" s="76"/>
      <c r="N46"/>
      <c r="O46"/>
      <c r="P46"/>
      <c r="Q46"/>
      <c r="R46" s="14"/>
      <c r="S46"/>
      <c r="T46"/>
      <c r="U46"/>
      <c r="V46"/>
    </row>
    <row r="47" spans="2:22" x14ac:dyDescent="0.3">
      <c r="B47" s="76" t="s">
        <v>67</v>
      </c>
      <c r="C47" s="76" t="s">
        <v>68</v>
      </c>
      <c r="D47" s="76" t="s">
        <v>23</v>
      </c>
      <c r="E47" s="76" t="s">
        <v>15</v>
      </c>
      <c r="F47" s="77">
        <v>40080</v>
      </c>
      <c r="G47" s="76">
        <v>63</v>
      </c>
      <c r="H47" s="76">
        <v>62</v>
      </c>
      <c r="I47" s="76">
        <v>125</v>
      </c>
      <c r="J47" s="76">
        <v>62.5</v>
      </c>
      <c r="K47" s="76"/>
      <c r="L47" s="76"/>
      <c r="N47"/>
      <c r="O47"/>
      <c r="P47"/>
      <c r="Q47"/>
      <c r="R47" s="14"/>
      <c r="S47"/>
      <c r="T47"/>
      <c r="U47"/>
      <c r="V47"/>
    </row>
    <row r="48" spans="2:22" x14ac:dyDescent="0.3">
      <c r="B48" s="76" t="s">
        <v>69</v>
      </c>
      <c r="C48" s="76" t="s">
        <v>14</v>
      </c>
      <c r="D48" s="76" t="s">
        <v>31</v>
      </c>
      <c r="E48" s="76" t="s">
        <v>15</v>
      </c>
      <c r="F48" s="77">
        <v>35727</v>
      </c>
      <c r="G48" s="76">
        <v>88</v>
      </c>
      <c r="H48" s="76">
        <v>85</v>
      </c>
      <c r="I48" s="76">
        <v>173</v>
      </c>
      <c r="J48" s="76">
        <v>86.5</v>
      </c>
      <c r="K48" s="76"/>
      <c r="L48" s="76"/>
      <c r="N48"/>
      <c r="O48"/>
      <c r="P48"/>
      <c r="Q48"/>
      <c r="R48" s="14"/>
      <c r="S48"/>
      <c r="T48"/>
      <c r="U48"/>
      <c r="V48"/>
    </row>
    <row r="49" spans="2:22" x14ac:dyDescent="0.3">
      <c r="B49" s="76" t="s">
        <v>70</v>
      </c>
      <c r="C49" s="76" t="s">
        <v>27</v>
      </c>
      <c r="D49" s="76" t="s">
        <v>11</v>
      </c>
      <c r="E49" s="76" t="s">
        <v>12</v>
      </c>
      <c r="F49" s="77">
        <v>40883</v>
      </c>
      <c r="G49" s="76">
        <v>62</v>
      </c>
      <c r="H49" s="76">
        <v>95</v>
      </c>
      <c r="I49" s="76">
        <v>157</v>
      </c>
      <c r="J49" s="76">
        <v>78.5</v>
      </c>
      <c r="K49" s="76"/>
      <c r="L49" s="76"/>
      <c r="N49"/>
      <c r="O49"/>
      <c r="P49"/>
      <c r="Q49"/>
      <c r="R49" s="14"/>
      <c r="S49"/>
      <c r="T49"/>
      <c r="U49"/>
      <c r="V49"/>
    </row>
    <row r="50" spans="2:22" x14ac:dyDescent="0.3">
      <c r="B50" s="76" t="s">
        <v>71</v>
      </c>
      <c r="C50" s="76" t="s">
        <v>27</v>
      </c>
      <c r="D50" s="76" t="s">
        <v>11</v>
      </c>
      <c r="E50" s="76" t="s">
        <v>15</v>
      </c>
      <c r="F50" s="77">
        <v>41337</v>
      </c>
      <c r="G50" s="76">
        <v>95</v>
      </c>
      <c r="H50" s="76">
        <v>72</v>
      </c>
      <c r="I50" s="76">
        <v>167</v>
      </c>
      <c r="J50" s="76">
        <v>83.5</v>
      </c>
      <c r="K50" s="76"/>
      <c r="L50" s="76"/>
      <c r="N50"/>
      <c r="O50"/>
      <c r="P50"/>
      <c r="Q50"/>
      <c r="R50" s="14"/>
      <c r="S50"/>
      <c r="T50"/>
      <c r="U50"/>
      <c r="V50"/>
    </row>
    <row r="51" spans="2:22" x14ac:dyDescent="0.3">
      <c r="B51" s="76" t="s">
        <v>72</v>
      </c>
      <c r="C51" s="76" t="s">
        <v>17</v>
      </c>
      <c r="D51" s="76" t="s">
        <v>11</v>
      </c>
      <c r="E51" s="76" t="s">
        <v>12</v>
      </c>
      <c r="F51" s="77">
        <v>40683</v>
      </c>
      <c r="G51" s="76">
        <v>93</v>
      </c>
      <c r="H51" s="76">
        <v>69</v>
      </c>
      <c r="I51" s="76">
        <v>162</v>
      </c>
      <c r="J51" s="76">
        <v>81</v>
      </c>
      <c r="K51" s="76"/>
      <c r="L51" s="76"/>
      <c r="N51"/>
      <c r="O51"/>
      <c r="P51"/>
      <c r="Q51"/>
      <c r="R51" s="14"/>
      <c r="S51"/>
      <c r="T51"/>
      <c r="U51"/>
      <c r="V51"/>
    </row>
    <row r="52" spans="2:22" x14ac:dyDescent="0.3">
      <c r="B52" s="76" t="s">
        <v>73</v>
      </c>
      <c r="C52" s="76" t="s">
        <v>27</v>
      </c>
      <c r="D52" s="76" t="s">
        <v>31</v>
      </c>
      <c r="E52" s="76" t="s">
        <v>12</v>
      </c>
      <c r="F52" s="77">
        <v>36843</v>
      </c>
      <c r="G52" s="76">
        <v>79</v>
      </c>
      <c r="H52" s="76">
        <v>71</v>
      </c>
      <c r="I52" s="76">
        <v>150</v>
      </c>
      <c r="J52" s="76">
        <v>75</v>
      </c>
      <c r="K52" s="76"/>
      <c r="L52" s="76"/>
      <c r="N52"/>
      <c r="O52"/>
      <c r="P52"/>
      <c r="Q52"/>
      <c r="R52" s="14"/>
      <c r="S52"/>
      <c r="T52"/>
      <c r="U52"/>
      <c r="V52"/>
    </row>
    <row r="53" spans="2:22" x14ac:dyDescent="0.3">
      <c r="B53" s="76" t="s">
        <v>74</v>
      </c>
      <c r="C53" s="76" t="s">
        <v>17</v>
      </c>
      <c r="D53" s="76" t="s">
        <v>35</v>
      </c>
      <c r="E53" s="76" t="s">
        <v>12</v>
      </c>
      <c r="F53" s="77">
        <v>37285</v>
      </c>
      <c r="G53" s="76">
        <v>69</v>
      </c>
      <c r="H53" s="76">
        <v>88</v>
      </c>
      <c r="I53" s="76">
        <v>157</v>
      </c>
      <c r="J53" s="76">
        <v>78.5</v>
      </c>
      <c r="K53" s="76"/>
      <c r="L53" s="76"/>
      <c r="N53"/>
      <c r="O53"/>
      <c r="P53"/>
      <c r="Q53"/>
      <c r="R53" s="14"/>
      <c r="S53"/>
      <c r="T53"/>
      <c r="U53"/>
      <c r="V53"/>
    </row>
    <row r="54" spans="2:22" x14ac:dyDescent="0.3">
      <c r="B54" s="76" t="s">
        <v>75</v>
      </c>
      <c r="C54" s="76" t="s">
        <v>53</v>
      </c>
      <c r="D54" s="76" t="s">
        <v>11</v>
      </c>
      <c r="E54" s="76" t="s">
        <v>15</v>
      </c>
      <c r="F54" s="77">
        <v>42699</v>
      </c>
      <c r="G54" s="76">
        <v>95</v>
      </c>
      <c r="H54" s="76">
        <v>83</v>
      </c>
      <c r="I54" s="76">
        <v>178</v>
      </c>
      <c r="J54" s="76">
        <v>89</v>
      </c>
      <c r="K54" s="76"/>
      <c r="L54" s="76"/>
      <c r="N54"/>
      <c r="O54"/>
      <c r="P54"/>
      <c r="Q54"/>
      <c r="R54" s="14"/>
      <c r="S54"/>
      <c r="T54"/>
      <c r="U54"/>
      <c r="V54"/>
    </row>
    <row r="55" spans="2:22" x14ac:dyDescent="0.3">
      <c r="B55" s="76" t="s">
        <v>76</v>
      </c>
      <c r="C55" s="76" t="s">
        <v>27</v>
      </c>
      <c r="D55" s="76" t="s">
        <v>11</v>
      </c>
      <c r="E55" s="76" t="s">
        <v>15</v>
      </c>
      <c r="F55" s="77">
        <v>42667</v>
      </c>
      <c r="G55" s="76">
        <v>64</v>
      </c>
      <c r="H55" s="76">
        <v>87</v>
      </c>
      <c r="I55" s="76">
        <v>151</v>
      </c>
      <c r="J55" s="76">
        <v>75.5</v>
      </c>
      <c r="K55" s="76"/>
      <c r="L55" s="76"/>
      <c r="N55"/>
      <c r="O55"/>
      <c r="P55"/>
      <c r="Q55"/>
      <c r="R55" s="14"/>
      <c r="S55"/>
      <c r="T55"/>
      <c r="U55"/>
      <c r="V55"/>
    </row>
    <row r="56" spans="2:22" x14ac:dyDescent="0.3">
      <c r="B56" s="76" t="s">
        <v>77</v>
      </c>
      <c r="C56" s="76" t="s">
        <v>17</v>
      </c>
      <c r="D56" s="76" t="s">
        <v>23</v>
      </c>
      <c r="E56" s="76" t="s">
        <v>12</v>
      </c>
      <c r="F56" s="77">
        <v>39605</v>
      </c>
      <c r="G56" s="76">
        <v>93</v>
      </c>
      <c r="H56" s="76">
        <v>64</v>
      </c>
      <c r="I56" s="76">
        <v>157</v>
      </c>
      <c r="J56" s="76">
        <v>78.5</v>
      </c>
      <c r="K56" s="76"/>
      <c r="L56" s="76"/>
      <c r="N56"/>
      <c r="O56"/>
      <c r="P56"/>
      <c r="Q56"/>
      <c r="R56" s="14"/>
      <c r="S56"/>
      <c r="T56"/>
      <c r="U56"/>
      <c r="V56"/>
    </row>
    <row r="57" spans="2:22" x14ac:dyDescent="0.3">
      <c r="B57" s="76" t="s">
        <v>78</v>
      </c>
      <c r="C57" s="76" t="s">
        <v>29</v>
      </c>
      <c r="D57" s="76" t="s">
        <v>23</v>
      </c>
      <c r="E57" s="76" t="s">
        <v>12</v>
      </c>
      <c r="F57" s="77">
        <v>40240</v>
      </c>
      <c r="G57" s="76">
        <v>67</v>
      </c>
      <c r="H57" s="76">
        <v>73</v>
      </c>
      <c r="I57" s="76">
        <v>140</v>
      </c>
      <c r="J57" s="76">
        <v>70</v>
      </c>
      <c r="K57" s="76"/>
      <c r="L57" s="76"/>
      <c r="N57"/>
      <c r="O57"/>
      <c r="P57"/>
      <c r="Q57"/>
      <c r="R57" s="14"/>
      <c r="S57"/>
      <c r="T57"/>
      <c r="U57"/>
      <c r="V57"/>
    </row>
    <row r="58" spans="2:22" x14ac:dyDescent="0.3">
      <c r="B58" s="76" t="s">
        <v>79</v>
      </c>
      <c r="C58" s="76" t="s">
        <v>22</v>
      </c>
      <c r="D58" s="76" t="s">
        <v>23</v>
      </c>
      <c r="E58" s="76" t="s">
        <v>12</v>
      </c>
      <c r="F58" s="77">
        <v>39542</v>
      </c>
      <c r="G58" s="76">
        <v>73</v>
      </c>
      <c r="H58" s="76">
        <v>60</v>
      </c>
      <c r="I58" s="76">
        <v>133</v>
      </c>
      <c r="J58" s="76">
        <v>66.5</v>
      </c>
      <c r="K58" s="76"/>
      <c r="L58" s="76"/>
      <c r="N58"/>
      <c r="O58"/>
      <c r="P58"/>
      <c r="Q58"/>
      <c r="R58" s="14"/>
      <c r="S58"/>
      <c r="T58"/>
      <c r="U58"/>
      <c r="V58"/>
    </row>
    <row r="59" spans="2:22" x14ac:dyDescent="0.3">
      <c r="B59" s="76" t="s">
        <v>80</v>
      </c>
      <c r="C59" s="76" t="s">
        <v>53</v>
      </c>
      <c r="D59" s="76" t="s">
        <v>23</v>
      </c>
      <c r="E59" s="76" t="s">
        <v>12</v>
      </c>
      <c r="F59" s="77">
        <v>40765</v>
      </c>
      <c r="G59" s="76">
        <v>60</v>
      </c>
      <c r="H59" s="76">
        <v>75</v>
      </c>
      <c r="I59" s="76">
        <v>135</v>
      </c>
      <c r="J59" s="76">
        <v>67.5</v>
      </c>
      <c r="K59" s="76"/>
      <c r="L59" s="76"/>
      <c r="N59"/>
      <c r="O59"/>
      <c r="P59"/>
      <c r="Q59"/>
      <c r="R59" s="14"/>
      <c r="S59"/>
      <c r="T59"/>
      <c r="U59"/>
      <c r="V59"/>
    </row>
    <row r="60" spans="2:22" x14ac:dyDescent="0.3">
      <c r="B60" s="76" t="s">
        <v>81</v>
      </c>
      <c r="C60" s="76" t="s">
        <v>10</v>
      </c>
      <c r="D60" s="76" t="s">
        <v>23</v>
      </c>
      <c r="E60" s="76" t="s">
        <v>12</v>
      </c>
      <c r="F60" s="77">
        <v>38912</v>
      </c>
      <c r="G60" s="76">
        <v>85</v>
      </c>
      <c r="H60" s="76">
        <v>94</v>
      </c>
      <c r="I60" s="76">
        <v>179</v>
      </c>
      <c r="J60" s="76">
        <v>89.5</v>
      </c>
      <c r="K60" s="76"/>
      <c r="L60" s="76"/>
      <c r="N60"/>
      <c r="O60"/>
      <c r="P60"/>
      <c r="Q60"/>
      <c r="R60" s="14"/>
      <c r="S60"/>
      <c r="T60"/>
      <c r="U60"/>
      <c r="V60"/>
    </row>
    <row r="61" spans="2:22" x14ac:dyDescent="0.3">
      <c r="B61" s="76" t="s">
        <v>82</v>
      </c>
      <c r="C61" s="76" t="s">
        <v>17</v>
      </c>
      <c r="D61" s="76" t="s">
        <v>31</v>
      </c>
      <c r="E61" s="76" t="s">
        <v>12</v>
      </c>
      <c r="F61" s="77">
        <v>37152</v>
      </c>
      <c r="G61" s="76">
        <v>97</v>
      </c>
      <c r="H61" s="76">
        <v>83</v>
      </c>
      <c r="I61" s="76">
        <v>180</v>
      </c>
      <c r="J61" s="76">
        <v>90</v>
      </c>
      <c r="K61" s="76"/>
      <c r="L61" s="76"/>
      <c r="N61"/>
      <c r="O61"/>
      <c r="P61"/>
      <c r="Q61"/>
      <c r="R61" s="14"/>
      <c r="S61"/>
      <c r="T61"/>
      <c r="U61"/>
      <c r="V61"/>
    </row>
    <row r="62" spans="2:22" x14ac:dyDescent="0.3">
      <c r="B62" s="76" t="s">
        <v>83</v>
      </c>
      <c r="C62" s="76" t="s">
        <v>25</v>
      </c>
      <c r="D62" s="76" t="s">
        <v>23</v>
      </c>
      <c r="E62" s="76" t="s">
        <v>12</v>
      </c>
      <c r="F62" s="77">
        <v>39779</v>
      </c>
      <c r="G62" s="76">
        <v>91</v>
      </c>
      <c r="H62" s="76">
        <v>84</v>
      </c>
      <c r="I62" s="76">
        <v>175</v>
      </c>
      <c r="J62" s="76">
        <v>87.5</v>
      </c>
      <c r="K62" s="76"/>
      <c r="L62" s="76"/>
      <c r="N62"/>
      <c r="O62"/>
      <c r="P62"/>
      <c r="Q62"/>
      <c r="R62" s="14"/>
      <c r="S62"/>
      <c r="T62"/>
      <c r="U62"/>
      <c r="V62"/>
    </row>
    <row r="63" spans="2:22" x14ac:dyDescent="0.3">
      <c r="B63" s="76" t="s">
        <v>84</v>
      </c>
      <c r="C63" s="76" t="s">
        <v>25</v>
      </c>
      <c r="D63" s="76" t="s">
        <v>23</v>
      </c>
      <c r="E63" s="76" t="s">
        <v>12</v>
      </c>
      <c r="F63" s="77">
        <v>40200</v>
      </c>
      <c r="G63" s="76">
        <v>75</v>
      </c>
      <c r="H63" s="76">
        <v>75</v>
      </c>
      <c r="I63" s="76">
        <v>150</v>
      </c>
      <c r="J63" s="76">
        <v>75</v>
      </c>
      <c r="K63" s="76"/>
      <c r="L63" s="76"/>
      <c r="N63"/>
      <c r="O63"/>
      <c r="P63"/>
      <c r="Q63"/>
      <c r="R63" s="14"/>
      <c r="S63"/>
      <c r="T63"/>
      <c r="U63"/>
      <c r="V63"/>
    </row>
    <row r="64" spans="2:22" x14ac:dyDescent="0.3">
      <c r="B64" s="76" t="s">
        <v>85</v>
      </c>
      <c r="C64" s="76" t="s">
        <v>25</v>
      </c>
      <c r="D64" s="76" t="s">
        <v>23</v>
      </c>
      <c r="E64" s="76" t="s">
        <v>12</v>
      </c>
      <c r="F64" s="77">
        <v>41030</v>
      </c>
      <c r="G64" s="76">
        <v>80</v>
      </c>
      <c r="H64" s="76">
        <v>79</v>
      </c>
      <c r="I64" s="76">
        <v>159</v>
      </c>
      <c r="J64" s="76">
        <v>79.5</v>
      </c>
      <c r="K64" s="76"/>
      <c r="L64" s="76"/>
      <c r="N64"/>
      <c r="O64"/>
      <c r="P64"/>
      <c r="Q64"/>
      <c r="R64" s="14"/>
      <c r="S64"/>
      <c r="T64"/>
      <c r="U64"/>
      <c r="V64"/>
    </row>
    <row r="65" spans="2:22" x14ac:dyDescent="0.3">
      <c r="B65" s="76" t="s">
        <v>86</v>
      </c>
      <c r="C65" s="76" t="s">
        <v>53</v>
      </c>
      <c r="D65" s="76" t="s">
        <v>31</v>
      </c>
      <c r="E65" s="76" t="s">
        <v>15</v>
      </c>
      <c r="F65" s="77">
        <v>36255</v>
      </c>
      <c r="G65" s="76">
        <v>87</v>
      </c>
      <c r="H65" s="76">
        <v>97</v>
      </c>
      <c r="I65" s="76">
        <v>184</v>
      </c>
      <c r="J65" s="76">
        <v>92</v>
      </c>
      <c r="K65" s="76"/>
      <c r="L65" s="76"/>
      <c r="N65"/>
      <c r="O65"/>
      <c r="P65"/>
      <c r="Q65"/>
      <c r="R65" s="14"/>
      <c r="S65"/>
      <c r="T65"/>
      <c r="U65"/>
      <c r="V65"/>
    </row>
    <row r="66" spans="2:22" x14ac:dyDescent="0.3">
      <c r="B66" s="76" t="s">
        <v>87</v>
      </c>
      <c r="C66" s="76" t="s">
        <v>68</v>
      </c>
      <c r="D66" s="76" t="s">
        <v>20</v>
      </c>
      <c r="E66" s="76" t="s">
        <v>12</v>
      </c>
      <c r="F66" s="77">
        <v>36419</v>
      </c>
      <c r="G66" s="76">
        <v>61</v>
      </c>
      <c r="H66" s="76">
        <v>71</v>
      </c>
      <c r="I66" s="76">
        <v>132</v>
      </c>
      <c r="J66" s="76">
        <v>66</v>
      </c>
      <c r="K66" s="76"/>
      <c r="L66" s="76"/>
      <c r="N66"/>
      <c r="O66"/>
      <c r="P66"/>
      <c r="Q66"/>
      <c r="R66" s="14"/>
      <c r="S66"/>
      <c r="T66"/>
      <c r="U66"/>
      <c r="V66"/>
    </row>
    <row r="67" spans="2:22" x14ac:dyDescent="0.3">
      <c r="B67" s="76" t="s">
        <v>88</v>
      </c>
      <c r="C67" s="76" t="s">
        <v>27</v>
      </c>
      <c r="D67" s="76" t="s">
        <v>35</v>
      </c>
      <c r="E67" s="76" t="s">
        <v>12</v>
      </c>
      <c r="F67" s="77">
        <v>38847</v>
      </c>
      <c r="G67" s="76">
        <v>99</v>
      </c>
      <c r="H67" s="76">
        <v>75</v>
      </c>
      <c r="I67" s="76">
        <v>174</v>
      </c>
      <c r="J67" s="76">
        <v>87</v>
      </c>
      <c r="K67" s="76"/>
      <c r="L67" s="76"/>
      <c r="N67"/>
      <c r="O67"/>
      <c r="P67"/>
      <c r="Q67"/>
      <c r="R67" s="14"/>
      <c r="S67"/>
      <c r="T67"/>
      <c r="U67"/>
      <c r="V67"/>
    </row>
    <row r="68" spans="2:22" x14ac:dyDescent="0.3">
      <c r="B68" s="76" t="s">
        <v>89</v>
      </c>
      <c r="C68" s="76" t="s">
        <v>53</v>
      </c>
      <c r="D68" s="76" t="s">
        <v>35</v>
      </c>
      <c r="E68" s="76" t="s">
        <v>15</v>
      </c>
      <c r="F68" s="77">
        <v>38987</v>
      </c>
      <c r="G68" s="76">
        <v>75</v>
      </c>
      <c r="H68" s="76">
        <v>61</v>
      </c>
      <c r="I68" s="76">
        <v>136</v>
      </c>
      <c r="J68" s="76">
        <v>68</v>
      </c>
      <c r="K68" s="76"/>
      <c r="L68" s="76"/>
      <c r="N68"/>
      <c r="O68"/>
      <c r="P68"/>
      <c r="Q68"/>
      <c r="R68" s="14"/>
      <c r="S68"/>
      <c r="T68"/>
      <c r="U68"/>
      <c r="V68"/>
    </row>
    <row r="69" spans="2:22" x14ac:dyDescent="0.3">
      <c r="B69" s="76" t="s">
        <v>90</v>
      </c>
      <c r="C69" s="76" t="s">
        <v>29</v>
      </c>
      <c r="D69" s="76" t="s">
        <v>11</v>
      </c>
      <c r="E69" s="76" t="s">
        <v>15</v>
      </c>
      <c r="F69" s="77">
        <v>41157</v>
      </c>
      <c r="G69" s="76">
        <v>77</v>
      </c>
      <c r="H69" s="76">
        <v>63</v>
      </c>
      <c r="I69" s="76">
        <v>140</v>
      </c>
      <c r="J69" s="76">
        <v>70</v>
      </c>
      <c r="K69" s="76"/>
      <c r="L69" s="76"/>
      <c r="N69"/>
      <c r="O69"/>
      <c r="P69"/>
      <c r="Q69"/>
      <c r="R69" s="14"/>
      <c r="S69"/>
      <c r="T69"/>
      <c r="U69"/>
      <c r="V69"/>
    </row>
    <row r="70" spans="2:22" x14ac:dyDescent="0.3">
      <c r="B70" s="76" t="s">
        <v>91</v>
      </c>
      <c r="C70" s="76" t="s">
        <v>29</v>
      </c>
      <c r="D70" s="76" t="s">
        <v>35</v>
      </c>
      <c r="E70" s="76" t="s">
        <v>12</v>
      </c>
      <c r="F70" s="77">
        <v>38828</v>
      </c>
      <c r="G70" s="76">
        <v>60</v>
      </c>
      <c r="H70" s="76">
        <v>86</v>
      </c>
      <c r="I70" s="76">
        <v>146</v>
      </c>
      <c r="J70" s="76">
        <v>73</v>
      </c>
      <c r="K70" s="76"/>
      <c r="L70" s="76"/>
      <c r="N70"/>
      <c r="O70"/>
      <c r="P70"/>
      <c r="Q70"/>
      <c r="R70" s="14"/>
      <c r="S70"/>
      <c r="T70"/>
      <c r="U70"/>
      <c r="V70"/>
    </row>
    <row r="71" spans="2:22" x14ac:dyDescent="0.3">
      <c r="B71" s="76" t="s">
        <v>92</v>
      </c>
      <c r="C71" s="76" t="s">
        <v>22</v>
      </c>
      <c r="D71" s="76" t="s">
        <v>20</v>
      </c>
      <c r="E71" s="76" t="s">
        <v>12</v>
      </c>
      <c r="F71" s="77">
        <v>36441</v>
      </c>
      <c r="G71" s="76">
        <v>97</v>
      </c>
      <c r="H71" s="76">
        <v>94</v>
      </c>
      <c r="I71" s="76">
        <v>191</v>
      </c>
      <c r="J71" s="76">
        <v>95.5</v>
      </c>
      <c r="K71" s="76"/>
      <c r="L71" s="76"/>
      <c r="N71"/>
      <c r="O71"/>
      <c r="P71"/>
      <c r="Q71"/>
      <c r="R71" s="14"/>
      <c r="S71"/>
      <c r="T71"/>
      <c r="U71"/>
      <c r="V71"/>
    </row>
    <row r="72" spans="2:22" x14ac:dyDescent="0.3">
      <c r="B72" s="76" t="s">
        <v>93</v>
      </c>
      <c r="C72" s="76" t="s">
        <v>25</v>
      </c>
      <c r="D72" s="76" t="s">
        <v>20</v>
      </c>
      <c r="E72" s="76" t="s">
        <v>12</v>
      </c>
      <c r="F72" s="77">
        <v>35908</v>
      </c>
      <c r="G72" s="76">
        <v>75</v>
      </c>
      <c r="H72" s="76">
        <v>90</v>
      </c>
      <c r="I72" s="76">
        <v>165</v>
      </c>
      <c r="J72" s="76">
        <v>82.5</v>
      </c>
      <c r="K72" s="76"/>
      <c r="L72" s="76"/>
      <c r="N72"/>
      <c r="O72"/>
      <c r="P72"/>
      <c r="Q72"/>
      <c r="R72" s="14"/>
      <c r="S72"/>
      <c r="T72"/>
      <c r="U72"/>
      <c r="V72"/>
    </row>
    <row r="73" spans="2:22" x14ac:dyDescent="0.3">
      <c r="B73" s="76" t="s">
        <v>94</v>
      </c>
      <c r="C73" s="76" t="s">
        <v>68</v>
      </c>
      <c r="D73" s="76" t="s">
        <v>11</v>
      </c>
      <c r="E73" s="76" t="s">
        <v>12</v>
      </c>
      <c r="F73" s="77">
        <v>41765</v>
      </c>
      <c r="G73" s="76">
        <v>81</v>
      </c>
      <c r="H73" s="76">
        <v>65</v>
      </c>
      <c r="I73" s="76">
        <v>146</v>
      </c>
      <c r="J73" s="76">
        <v>73</v>
      </c>
      <c r="K73" s="76"/>
      <c r="L73" s="76"/>
      <c r="N73"/>
      <c r="O73"/>
      <c r="P73"/>
      <c r="Q73"/>
      <c r="R73" s="14"/>
      <c r="S73"/>
      <c r="T73"/>
      <c r="U73"/>
      <c r="V73"/>
    </row>
    <row r="74" spans="2:22" x14ac:dyDescent="0.3">
      <c r="B74" s="76" t="s">
        <v>95</v>
      </c>
      <c r="C74" s="76" t="s">
        <v>10</v>
      </c>
      <c r="D74" s="76" t="s">
        <v>23</v>
      </c>
      <c r="E74" s="76" t="s">
        <v>12</v>
      </c>
      <c r="F74" s="77">
        <v>38889</v>
      </c>
      <c r="G74" s="76">
        <v>62</v>
      </c>
      <c r="H74" s="76">
        <v>70</v>
      </c>
      <c r="I74" s="76">
        <v>132</v>
      </c>
      <c r="J74" s="76">
        <v>66</v>
      </c>
      <c r="K74" s="76"/>
      <c r="L74" s="76"/>
      <c r="N74"/>
      <c r="O74"/>
      <c r="P74"/>
      <c r="Q74"/>
      <c r="R74" s="14"/>
      <c r="S74"/>
      <c r="T74"/>
      <c r="U74"/>
      <c r="V74"/>
    </row>
    <row r="75" spans="2:22" x14ac:dyDescent="0.3">
      <c r="B75" s="76" t="s">
        <v>96</v>
      </c>
      <c r="C75" s="76" t="s">
        <v>25</v>
      </c>
      <c r="D75" s="76" t="s">
        <v>11</v>
      </c>
      <c r="E75" s="76" t="s">
        <v>12</v>
      </c>
      <c r="F75" s="77">
        <v>41873</v>
      </c>
      <c r="G75" s="76">
        <v>76</v>
      </c>
      <c r="H75" s="76">
        <v>89</v>
      </c>
      <c r="I75" s="76">
        <v>165</v>
      </c>
      <c r="J75" s="76">
        <v>82.5</v>
      </c>
      <c r="K75" s="76"/>
      <c r="L75" s="76"/>
      <c r="N75"/>
      <c r="O75"/>
      <c r="P75"/>
      <c r="Q75"/>
      <c r="R75" s="14"/>
      <c r="S75"/>
      <c r="T75"/>
      <c r="U75"/>
      <c r="V75"/>
    </row>
    <row r="76" spans="2:22" x14ac:dyDescent="0.3">
      <c r="B76" s="76" t="s">
        <v>97</v>
      </c>
      <c r="C76" s="76" t="s">
        <v>22</v>
      </c>
      <c r="D76" s="76" t="s">
        <v>23</v>
      </c>
      <c r="E76" s="76" t="s">
        <v>12</v>
      </c>
      <c r="F76" s="77">
        <v>40102</v>
      </c>
      <c r="G76" s="76">
        <v>62</v>
      </c>
      <c r="H76" s="76">
        <v>67</v>
      </c>
      <c r="I76" s="76">
        <v>129</v>
      </c>
      <c r="J76" s="76">
        <v>64.5</v>
      </c>
      <c r="K76" s="76"/>
      <c r="L76" s="76"/>
      <c r="N76"/>
      <c r="O76"/>
      <c r="P76"/>
      <c r="Q76"/>
      <c r="R76" s="14"/>
      <c r="S76"/>
      <c r="T76"/>
      <c r="U76"/>
      <c r="V76"/>
    </row>
    <row r="77" spans="2:22" x14ac:dyDescent="0.3">
      <c r="B77" s="76" t="s">
        <v>98</v>
      </c>
      <c r="C77" s="76" t="s">
        <v>22</v>
      </c>
      <c r="D77" s="76" t="s">
        <v>11</v>
      </c>
      <c r="E77" s="76" t="s">
        <v>12</v>
      </c>
      <c r="F77" s="77">
        <v>41914</v>
      </c>
      <c r="G77" s="76">
        <v>99</v>
      </c>
      <c r="H77" s="76">
        <v>90</v>
      </c>
      <c r="I77" s="76">
        <v>189</v>
      </c>
      <c r="J77" s="76">
        <v>94.5</v>
      </c>
      <c r="K77" s="76"/>
      <c r="L77" s="76"/>
      <c r="N77"/>
      <c r="O77"/>
      <c r="P77"/>
      <c r="Q77"/>
      <c r="R77" s="14"/>
      <c r="S77"/>
      <c r="T77"/>
      <c r="U77"/>
      <c r="V77"/>
    </row>
    <row r="78" spans="2:22" x14ac:dyDescent="0.3">
      <c r="B78" s="76" t="s">
        <v>99</v>
      </c>
      <c r="C78" s="76" t="s">
        <v>68</v>
      </c>
      <c r="D78" s="76" t="s">
        <v>35</v>
      </c>
      <c r="E78" s="76" t="s">
        <v>12</v>
      </c>
      <c r="F78" s="77">
        <v>37237</v>
      </c>
      <c r="G78" s="76">
        <v>60</v>
      </c>
      <c r="H78" s="76">
        <v>94</v>
      </c>
      <c r="I78" s="76">
        <v>154</v>
      </c>
      <c r="J78" s="76">
        <v>77</v>
      </c>
      <c r="K78" s="76"/>
      <c r="L78" s="76"/>
      <c r="N78"/>
      <c r="O78"/>
      <c r="P78"/>
      <c r="Q78"/>
      <c r="R78" s="14"/>
      <c r="S78"/>
      <c r="T78"/>
      <c r="U78"/>
      <c r="V78"/>
    </row>
    <row r="79" spans="2:22" x14ac:dyDescent="0.3">
      <c r="B79" s="76" t="s">
        <v>100</v>
      </c>
      <c r="C79" s="76" t="s">
        <v>25</v>
      </c>
      <c r="D79" s="76" t="s">
        <v>11</v>
      </c>
      <c r="E79" s="76" t="s">
        <v>12</v>
      </c>
      <c r="F79" s="77">
        <v>42951</v>
      </c>
      <c r="G79" s="76">
        <v>97</v>
      </c>
      <c r="H79" s="76">
        <v>88</v>
      </c>
      <c r="I79" s="76">
        <v>185</v>
      </c>
      <c r="J79" s="76">
        <v>92.5</v>
      </c>
      <c r="K79" s="76"/>
      <c r="L79" s="76"/>
      <c r="N79"/>
      <c r="O79"/>
      <c r="P79"/>
      <c r="Q79"/>
      <c r="R79" s="14"/>
      <c r="S79"/>
      <c r="T79"/>
      <c r="U79"/>
      <c r="V79"/>
    </row>
    <row r="80" spans="2:22" x14ac:dyDescent="0.3">
      <c r="B80" s="76" t="s">
        <v>101</v>
      </c>
      <c r="C80" s="76" t="s">
        <v>29</v>
      </c>
      <c r="D80" s="76" t="s">
        <v>11</v>
      </c>
      <c r="E80" s="76" t="s">
        <v>15</v>
      </c>
      <c r="F80" s="77">
        <v>42352</v>
      </c>
      <c r="G80" s="76">
        <v>96</v>
      </c>
      <c r="H80" s="76">
        <v>97</v>
      </c>
      <c r="I80" s="76">
        <v>193</v>
      </c>
      <c r="J80" s="76">
        <v>96.5</v>
      </c>
      <c r="K80" s="76"/>
      <c r="L80" s="76"/>
      <c r="N80"/>
      <c r="O80"/>
      <c r="P80"/>
      <c r="Q80"/>
      <c r="R80" s="14"/>
      <c r="S80"/>
      <c r="T80"/>
      <c r="U80"/>
      <c r="V80"/>
    </row>
    <row r="81" spans="2:22" x14ac:dyDescent="0.3">
      <c r="B81" s="76" t="s">
        <v>98</v>
      </c>
      <c r="C81" s="76" t="s">
        <v>22</v>
      </c>
      <c r="D81" s="76" t="s">
        <v>11</v>
      </c>
      <c r="E81" s="76" t="s">
        <v>12</v>
      </c>
      <c r="F81" s="77">
        <v>41914</v>
      </c>
      <c r="G81" s="76">
        <v>99</v>
      </c>
      <c r="H81" s="76">
        <v>90</v>
      </c>
      <c r="I81" s="76">
        <v>189</v>
      </c>
      <c r="J81" s="76">
        <v>94.5</v>
      </c>
      <c r="K81" s="76"/>
      <c r="L81" s="76"/>
      <c r="N81"/>
      <c r="O81"/>
      <c r="P81"/>
      <c r="Q81"/>
      <c r="R81" s="14"/>
      <c r="S81"/>
      <c r="T81"/>
      <c r="U81"/>
      <c r="V81"/>
    </row>
    <row r="82" spans="2:22" x14ac:dyDescent="0.3">
      <c r="B82" s="76" t="s">
        <v>99</v>
      </c>
      <c r="C82" s="76" t="s">
        <v>68</v>
      </c>
      <c r="D82" s="76" t="s">
        <v>35</v>
      </c>
      <c r="E82" s="76" t="s">
        <v>12</v>
      </c>
      <c r="F82" s="77">
        <v>37237</v>
      </c>
      <c r="G82" s="76">
        <v>60</v>
      </c>
      <c r="H82" s="76">
        <v>94</v>
      </c>
      <c r="I82" s="76">
        <v>154</v>
      </c>
      <c r="J82" s="76">
        <v>77</v>
      </c>
      <c r="K82" s="76"/>
      <c r="L82" s="76"/>
      <c r="N82"/>
      <c r="O82"/>
      <c r="P82"/>
      <c r="Q82"/>
      <c r="R82" s="14"/>
      <c r="S82"/>
      <c r="T82"/>
      <c r="U82"/>
      <c r="V82"/>
    </row>
    <row r="83" spans="2:22" x14ac:dyDescent="0.3">
      <c r="B83" s="76" t="s">
        <v>100</v>
      </c>
      <c r="C83" s="76" t="s">
        <v>25</v>
      </c>
      <c r="D83" s="76" t="s">
        <v>11</v>
      </c>
      <c r="E83" s="76" t="s">
        <v>12</v>
      </c>
      <c r="F83" s="77">
        <v>42951</v>
      </c>
      <c r="G83" s="76">
        <v>72</v>
      </c>
      <c r="H83" s="76">
        <v>88</v>
      </c>
      <c r="I83" s="76">
        <v>160</v>
      </c>
      <c r="J83" s="76">
        <v>80</v>
      </c>
      <c r="K83" s="76"/>
      <c r="L83" s="76"/>
      <c r="N83"/>
      <c r="O83"/>
      <c r="P83"/>
      <c r="Q83"/>
      <c r="R83" s="14"/>
      <c r="S83"/>
      <c r="T83"/>
      <c r="U83"/>
      <c r="V83"/>
    </row>
    <row r="84" spans="2:22" x14ac:dyDescent="0.3">
      <c r="B84" s="76" t="s">
        <v>101</v>
      </c>
      <c r="C84" s="76" t="s">
        <v>29</v>
      </c>
      <c r="D84" s="76" t="s">
        <v>11</v>
      </c>
      <c r="E84" s="76" t="s">
        <v>15</v>
      </c>
      <c r="F84" s="77">
        <v>42352</v>
      </c>
      <c r="G84" s="76">
        <v>80</v>
      </c>
      <c r="H84" s="76">
        <v>97</v>
      </c>
      <c r="I84" s="76">
        <v>177</v>
      </c>
      <c r="J84" s="76">
        <v>88.5</v>
      </c>
      <c r="K84" s="76"/>
      <c r="L84" s="76"/>
      <c r="N84"/>
      <c r="O84"/>
      <c r="P84"/>
      <c r="Q84"/>
      <c r="R84" s="14"/>
      <c r="S84"/>
      <c r="T84"/>
      <c r="U84"/>
      <c r="V84"/>
    </row>
    <row r="85" spans="2:22" x14ac:dyDescent="0.3">
      <c r="B85" s="82" t="s">
        <v>301</v>
      </c>
      <c r="C85" s="82" t="s">
        <v>109</v>
      </c>
      <c r="D85" s="82" t="s">
        <v>302</v>
      </c>
      <c r="E85" s="82" t="s">
        <v>303</v>
      </c>
      <c r="F85" s="83">
        <v>42856</v>
      </c>
      <c r="G85" s="82">
        <v>100</v>
      </c>
      <c r="H85" s="82">
        <v>100</v>
      </c>
      <c r="I85" s="82">
        <v>200</v>
      </c>
      <c r="J85" s="82">
        <v>100</v>
      </c>
    </row>
  </sheetData>
  <phoneticPr fontId="2" type="noConversion"/>
  <dataValidations count="1">
    <dataValidation type="list" allowBlank="1" showInputMessage="1" showErrorMessage="1" sqref="O2" xr:uid="{60A4F907-CFB3-46D7-94F8-CD766F19708D}">
      <formula1>$L$5:$L$14</formula1>
    </dataValidation>
  </dataValidations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EDAD2B-B7B3-4AD3-B007-C9ADF679227B}">
  <sheetPr codeName="Sheet6">
    <tabColor theme="5" tint="-0.249977111117893"/>
  </sheetPr>
  <dimension ref="B2:B13"/>
  <sheetViews>
    <sheetView workbookViewId="0">
      <selection activeCell="F23" sqref="F23"/>
    </sheetView>
  </sheetViews>
  <sheetFormatPr defaultRowHeight="16.5" x14ac:dyDescent="0.3"/>
  <cols>
    <col min="1" max="1" width="2.5" customWidth="1"/>
    <col min="2" max="2" width="11.25" customWidth="1"/>
  </cols>
  <sheetData>
    <row r="2" spans="2:2" x14ac:dyDescent="0.3">
      <c r="B2" cm="1">
        <f t="array" ref="B2:B13">_xlfn.UNIQUE(Filter함수_조건1개!C:C)</f>
        <v>0</v>
      </c>
    </row>
    <row r="3" spans="2:2" x14ac:dyDescent="0.3">
      <c r="B3" t="str">
        <v>소속</v>
      </c>
    </row>
    <row r="4" spans="2:2" x14ac:dyDescent="0.3">
      <c r="B4" t="str">
        <v>구매팀</v>
      </c>
    </row>
    <row r="5" spans="2:2" x14ac:dyDescent="0.3">
      <c r="B5" t="str">
        <v>기획팀</v>
      </c>
    </row>
    <row r="6" spans="2:2" x14ac:dyDescent="0.3">
      <c r="B6" t="str">
        <v>생산관리팀</v>
      </c>
    </row>
    <row r="7" spans="2:2" x14ac:dyDescent="0.3">
      <c r="B7" t="str">
        <v>영업1팀</v>
      </c>
    </row>
    <row r="8" spans="2:2" x14ac:dyDescent="0.3">
      <c r="B8" t="str">
        <v>경영정보팀</v>
      </c>
    </row>
    <row r="9" spans="2:2" x14ac:dyDescent="0.3">
      <c r="B9" t="str">
        <v>영업2팀</v>
      </c>
    </row>
    <row r="10" spans="2:2" x14ac:dyDescent="0.3">
      <c r="B10" t="str">
        <v>개발팀</v>
      </c>
    </row>
    <row r="11" spans="2:2" x14ac:dyDescent="0.3">
      <c r="B11" t="str">
        <v>총무팀</v>
      </c>
    </row>
    <row r="12" spans="2:2" x14ac:dyDescent="0.3">
      <c r="B12" t="str">
        <v>운영팀</v>
      </c>
    </row>
    <row r="13" spans="2:2" x14ac:dyDescent="0.3">
      <c r="B13" t="str">
        <v>홍보팀</v>
      </c>
    </row>
  </sheetData>
  <phoneticPr fontId="2" type="noConversion"/>
  <pageMargins left="0.7" right="0.7" top="0.75" bottom="0.75" header="0.3" footer="0.3"/>
  <pageSetup paperSize="9"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B82F36-ABDF-4A73-BA46-3660A17FEDC7}">
  <sheetPr codeName="Sheet16">
    <tabColor rgb="FF0070C0"/>
  </sheetPr>
  <dimension ref="B1:V84"/>
  <sheetViews>
    <sheetView topLeftCell="A40" zoomScaleNormal="100" workbookViewId="0">
      <selection activeCell="F16" sqref="F16"/>
    </sheetView>
  </sheetViews>
  <sheetFormatPr defaultRowHeight="16.5" x14ac:dyDescent="0.3"/>
  <cols>
    <col min="1" max="1" width="1.625" customWidth="1"/>
    <col min="3" max="3" width="11" bestFit="1" customWidth="1"/>
    <col min="4" max="5" width="5.75" customWidth="1"/>
    <col min="6" max="6" width="11.125" bestFit="1" customWidth="1"/>
    <col min="7" max="7" width="7" customWidth="1"/>
    <col min="8" max="8" width="6.875" customWidth="1"/>
    <col min="9" max="10" width="5.75" customWidth="1"/>
    <col min="11" max="11" width="2.5" customWidth="1"/>
    <col min="12" max="12" width="11.875" customWidth="1"/>
    <col min="13" max="13" width="2.375" customWidth="1"/>
    <col min="14" max="14" width="9" style="75"/>
    <col min="15" max="15" width="11.625" style="75" customWidth="1"/>
    <col min="16" max="22" width="9" style="75"/>
  </cols>
  <sheetData>
    <row r="1" spans="2:22" ht="7.5" customHeight="1" thickBot="1" x14ac:dyDescent="0.35"/>
    <row r="2" spans="2:22" s="1" customFormat="1" ht="30" customHeight="1" thickTop="1" thickBot="1" x14ac:dyDescent="0.35">
      <c r="B2" s="80" t="s">
        <v>102</v>
      </c>
      <c r="C2" s="81"/>
      <c r="D2" s="81"/>
      <c r="E2" s="81"/>
      <c r="F2" s="81"/>
      <c r="G2" s="81"/>
      <c r="H2" s="81"/>
      <c r="I2" s="81"/>
      <c r="J2" s="81"/>
      <c r="K2"/>
      <c r="L2"/>
      <c r="N2" s="10" t="s">
        <v>1</v>
      </c>
      <c r="O2"/>
      <c r="P2" s="75"/>
      <c r="Q2" s="75"/>
      <c r="R2" s="75"/>
      <c r="S2" s="75"/>
      <c r="T2" s="75"/>
      <c r="U2" s="16"/>
      <c r="V2" s="16"/>
    </row>
    <row r="3" spans="2:22" ht="7.5" customHeight="1" thickTop="1" x14ac:dyDescent="0.3"/>
    <row r="4" spans="2:22" x14ac:dyDescent="0.3">
      <c r="B4" s="78" t="s">
        <v>0</v>
      </c>
      <c r="C4" s="79" t="s">
        <v>1</v>
      </c>
      <c r="D4" s="79" t="s">
        <v>2</v>
      </c>
      <c r="E4" s="79" t="s">
        <v>3</v>
      </c>
      <c r="F4" s="79" t="s">
        <v>4</v>
      </c>
      <c r="G4" s="79" t="s">
        <v>5</v>
      </c>
      <c r="H4" s="79" t="s">
        <v>6</v>
      </c>
      <c r="I4" s="79" t="s">
        <v>7</v>
      </c>
      <c r="J4" s="79" t="s">
        <v>8</v>
      </c>
      <c r="K4" s="79"/>
      <c r="L4" s="79"/>
      <c r="N4"/>
      <c r="O4"/>
      <c r="P4"/>
      <c r="Q4"/>
      <c r="R4"/>
      <c r="S4"/>
      <c r="T4"/>
      <c r="U4"/>
      <c r="V4"/>
    </row>
    <row r="5" spans="2:22" x14ac:dyDescent="0.3">
      <c r="B5" s="76" t="s">
        <v>9</v>
      </c>
      <c r="C5" s="76" t="s">
        <v>10</v>
      </c>
      <c r="D5" s="76" t="s">
        <v>11</v>
      </c>
      <c r="E5" s="76" t="s">
        <v>12</v>
      </c>
      <c r="F5" s="77">
        <v>42830</v>
      </c>
      <c r="G5" s="76">
        <v>97</v>
      </c>
      <c r="H5" s="76">
        <v>70</v>
      </c>
      <c r="I5" s="76">
        <v>167</v>
      </c>
      <c r="J5" s="76">
        <v>83.5</v>
      </c>
      <c r="K5" s="76"/>
      <c r="L5" s="76"/>
      <c r="N5"/>
      <c r="O5"/>
      <c r="P5"/>
      <c r="Q5"/>
      <c r="R5"/>
      <c r="S5"/>
      <c r="T5"/>
      <c r="U5"/>
      <c r="V5"/>
    </row>
    <row r="6" spans="2:22" x14ac:dyDescent="0.3">
      <c r="B6" s="76" t="s">
        <v>13</v>
      </c>
      <c r="C6" s="76" t="s">
        <v>14</v>
      </c>
      <c r="D6" s="76" t="s">
        <v>11</v>
      </c>
      <c r="E6" s="76" t="s">
        <v>15</v>
      </c>
      <c r="F6" s="77">
        <v>40563</v>
      </c>
      <c r="G6" s="76">
        <v>93</v>
      </c>
      <c r="H6" s="76">
        <v>79</v>
      </c>
      <c r="I6" s="76">
        <v>172</v>
      </c>
      <c r="J6" s="76">
        <v>86</v>
      </c>
      <c r="K6" s="76"/>
      <c r="L6" s="76"/>
      <c r="N6"/>
      <c r="O6"/>
      <c r="P6"/>
      <c r="Q6"/>
      <c r="R6"/>
      <c r="S6"/>
      <c r="T6"/>
      <c r="U6"/>
      <c r="V6"/>
    </row>
    <row r="7" spans="2:22" x14ac:dyDescent="0.3">
      <c r="B7" s="76" t="s">
        <v>16</v>
      </c>
      <c r="C7" s="76" t="s">
        <v>17</v>
      </c>
      <c r="D7" s="76" t="s">
        <v>11</v>
      </c>
      <c r="E7" s="76" t="s">
        <v>12</v>
      </c>
      <c r="F7" s="77">
        <v>40809</v>
      </c>
      <c r="G7" s="76">
        <v>63</v>
      </c>
      <c r="H7" s="76">
        <v>75</v>
      </c>
      <c r="I7" s="76">
        <v>138</v>
      </c>
      <c r="J7" s="76">
        <v>69</v>
      </c>
      <c r="K7" s="76"/>
      <c r="L7" s="76"/>
      <c r="N7"/>
      <c r="O7"/>
      <c r="P7"/>
      <c r="Q7"/>
      <c r="R7"/>
      <c r="S7"/>
      <c r="T7"/>
      <c r="U7"/>
      <c r="V7"/>
    </row>
    <row r="8" spans="2:22" x14ac:dyDescent="0.3">
      <c r="B8" s="76" t="s">
        <v>18</v>
      </c>
      <c r="C8" s="76" t="s">
        <v>14</v>
      </c>
      <c r="D8" s="76" t="s">
        <v>11</v>
      </c>
      <c r="E8" s="76" t="s">
        <v>15</v>
      </c>
      <c r="F8" s="77">
        <v>42269</v>
      </c>
      <c r="G8" s="76">
        <v>89</v>
      </c>
      <c r="H8" s="76">
        <v>82</v>
      </c>
      <c r="I8" s="76">
        <v>171</v>
      </c>
      <c r="J8" s="76">
        <v>85.5</v>
      </c>
      <c r="K8" s="76"/>
      <c r="L8" s="76"/>
      <c r="N8"/>
      <c r="O8"/>
      <c r="P8"/>
      <c r="Q8"/>
      <c r="R8"/>
      <c r="S8"/>
      <c r="T8"/>
      <c r="U8"/>
      <c r="V8"/>
    </row>
    <row r="9" spans="2:22" x14ac:dyDescent="0.3">
      <c r="B9" s="76" t="s">
        <v>19</v>
      </c>
      <c r="C9" s="76" t="s">
        <v>14</v>
      </c>
      <c r="D9" s="76" t="s">
        <v>20</v>
      </c>
      <c r="E9" s="76" t="s">
        <v>12</v>
      </c>
      <c r="F9" s="77">
        <v>35622</v>
      </c>
      <c r="G9" s="76">
        <v>93</v>
      </c>
      <c r="H9" s="76">
        <v>84</v>
      </c>
      <c r="I9" s="76">
        <v>177</v>
      </c>
      <c r="J9" s="76">
        <v>88.5</v>
      </c>
      <c r="K9" s="76"/>
      <c r="L9" s="76"/>
      <c r="N9"/>
      <c r="O9"/>
      <c r="P9"/>
      <c r="Q9"/>
      <c r="R9"/>
      <c r="S9"/>
      <c r="T9"/>
      <c r="U9"/>
      <c r="V9"/>
    </row>
    <row r="10" spans="2:22" x14ac:dyDescent="0.3">
      <c r="B10" s="76" t="s">
        <v>21</v>
      </c>
      <c r="C10" s="76" t="s">
        <v>22</v>
      </c>
      <c r="D10" s="76" t="s">
        <v>23</v>
      </c>
      <c r="E10" s="76" t="s">
        <v>12</v>
      </c>
      <c r="F10" s="77">
        <v>39708</v>
      </c>
      <c r="G10" s="76">
        <v>77</v>
      </c>
      <c r="H10" s="76">
        <v>70</v>
      </c>
      <c r="I10" s="76">
        <v>147</v>
      </c>
      <c r="J10" s="76">
        <v>73.5</v>
      </c>
      <c r="K10" s="76"/>
      <c r="L10" s="76"/>
      <c r="N10"/>
      <c r="O10"/>
      <c r="P10"/>
      <c r="Q10"/>
      <c r="R10"/>
      <c r="S10"/>
      <c r="T10"/>
      <c r="U10"/>
      <c r="V10"/>
    </row>
    <row r="11" spans="2:22" x14ac:dyDescent="0.3">
      <c r="B11" s="76" t="s">
        <v>24</v>
      </c>
      <c r="C11" s="76" t="s">
        <v>25</v>
      </c>
      <c r="D11" s="76" t="s">
        <v>11</v>
      </c>
      <c r="E11" s="76" t="s">
        <v>12</v>
      </c>
      <c r="F11" s="77">
        <v>42332</v>
      </c>
      <c r="G11" s="76">
        <v>82</v>
      </c>
      <c r="H11" s="76">
        <v>70</v>
      </c>
      <c r="I11" s="76">
        <v>152</v>
      </c>
      <c r="J11" s="76">
        <v>76</v>
      </c>
      <c r="K11" s="76"/>
      <c r="L11" s="76"/>
      <c r="N11"/>
      <c r="O11"/>
      <c r="P11"/>
      <c r="Q11"/>
      <c r="R11"/>
      <c r="S11"/>
      <c r="T11"/>
      <c r="U11"/>
      <c r="V11"/>
    </row>
    <row r="12" spans="2:22" x14ac:dyDescent="0.3">
      <c r="B12" s="76" t="s">
        <v>26</v>
      </c>
      <c r="C12" s="76" t="s">
        <v>27</v>
      </c>
      <c r="D12" s="76" t="s">
        <v>11</v>
      </c>
      <c r="E12" s="76" t="s">
        <v>15</v>
      </c>
      <c r="F12" s="77">
        <v>42009</v>
      </c>
      <c r="G12" s="76">
        <v>87</v>
      </c>
      <c r="H12" s="76">
        <v>65</v>
      </c>
      <c r="I12" s="76">
        <v>152</v>
      </c>
      <c r="J12" s="76">
        <v>76</v>
      </c>
      <c r="K12" s="76"/>
      <c r="L12" s="76"/>
      <c r="N12"/>
      <c r="O12"/>
      <c r="P12"/>
      <c r="Q12"/>
      <c r="R12"/>
      <c r="S12"/>
      <c r="T12"/>
      <c r="U12"/>
      <c r="V12"/>
    </row>
    <row r="13" spans="2:22" x14ac:dyDescent="0.3">
      <c r="B13" s="76" t="s">
        <v>28</v>
      </c>
      <c r="C13" s="76" t="s">
        <v>29</v>
      </c>
      <c r="D13" s="76" t="s">
        <v>20</v>
      </c>
      <c r="E13" s="76" t="s">
        <v>12</v>
      </c>
      <c r="F13" s="77">
        <v>35270</v>
      </c>
      <c r="G13" s="76">
        <v>100</v>
      </c>
      <c r="H13" s="76">
        <v>79</v>
      </c>
      <c r="I13" s="76">
        <v>179</v>
      </c>
      <c r="J13" s="76">
        <v>89.5</v>
      </c>
      <c r="K13" s="76"/>
      <c r="L13" s="76"/>
      <c r="N13"/>
      <c r="O13"/>
      <c r="P13"/>
      <c r="Q13"/>
      <c r="R13"/>
      <c r="S13"/>
      <c r="T13"/>
      <c r="U13"/>
      <c r="V13"/>
    </row>
    <row r="14" spans="2:22" x14ac:dyDescent="0.3">
      <c r="B14" s="76" t="s">
        <v>30</v>
      </c>
      <c r="C14" s="76" t="s">
        <v>25</v>
      </c>
      <c r="D14" s="76" t="s">
        <v>31</v>
      </c>
      <c r="E14" s="76" t="s">
        <v>15</v>
      </c>
      <c r="F14" s="77">
        <v>37421</v>
      </c>
      <c r="G14" s="76">
        <v>78</v>
      </c>
      <c r="H14" s="76">
        <v>84</v>
      </c>
      <c r="I14" s="76">
        <v>162</v>
      </c>
      <c r="J14" s="76">
        <v>81</v>
      </c>
      <c r="K14" s="76"/>
      <c r="L14" s="76"/>
      <c r="N14"/>
      <c r="O14"/>
      <c r="P14"/>
      <c r="Q14"/>
      <c r="R14"/>
      <c r="S14"/>
      <c r="T14"/>
      <c r="U14"/>
      <c r="V14"/>
    </row>
    <row r="15" spans="2:22" x14ac:dyDescent="0.3">
      <c r="B15" s="76" t="s">
        <v>32</v>
      </c>
      <c r="C15" s="76" t="s">
        <v>25</v>
      </c>
      <c r="D15" s="76" t="s">
        <v>11</v>
      </c>
      <c r="E15" s="76" t="s">
        <v>15</v>
      </c>
      <c r="F15" s="77">
        <v>40703</v>
      </c>
      <c r="G15" s="76">
        <v>71</v>
      </c>
      <c r="H15" s="76">
        <v>92</v>
      </c>
      <c r="I15" s="76">
        <v>163</v>
      </c>
      <c r="J15" s="76">
        <v>81.5</v>
      </c>
      <c r="K15" s="76"/>
      <c r="L15" s="76"/>
      <c r="N15"/>
      <c r="O15"/>
      <c r="P15"/>
      <c r="Q15"/>
      <c r="R15"/>
      <c r="S15"/>
      <c r="T15"/>
      <c r="U15"/>
      <c r="V15"/>
    </row>
    <row r="16" spans="2:22" x14ac:dyDescent="0.3">
      <c r="B16" s="76" t="s">
        <v>33</v>
      </c>
      <c r="C16" s="76" t="s">
        <v>10</v>
      </c>
      <c r="D16" s="76" t="s">
        <v>20</v>
      </c>
      <c r="E16" s="76" t="s">
        <v>15</v>
      </c>
      <c r="F16" s="77">
        <v>35786</v>
      </c>
      <c r="G16" s="76">
        <v>66</v>
      </c>
      <c r="H16" s="76">
        <v>91</v>
      </c>
      <c r="I16" s="76">
        <v>157</v>
      </c>
      <c r="J16" s="76">
        <v>78.5</v>
      </c>
      <c r="K16" s="76"/>
      <c r="L16" s="76"/>
      <c r="N16"/>
      <c r="O16"/>
      <c r="P16"/>
      <c r="Q16"/>
      <c r="R16"/>
      <c r="S16"/>
      <c r="T16"/>
      <c r="U16"/>
      <c r="V16"/>
    </row>
    <row r="17" spans="2:22" x14ac:dyDescent="0.3">
      <c r="B17" s="76" t="s">
        <v>34</v>
      </c>
      <c r="C17" s="76" t="s">
        <v>25</v>
      </c>
      <c r="D17" s="76" t="s">
        <v>35</v>
      </c>
      <c r="E17" s="76" t="s">
        <v>12</v>
      </c>
      <c r="F17" s="77">
        <v>37421</v>
      </c>
      <c r="G17" s="76">
        <v>78</v>
      </c>
      <c r="H17" s="76">
        <v>97</v>
      </c>
      <c r="I17" s="76">
        <v>175</v>
      </c>
      <c r="J17" s="76">
        <v>87.5</v>
      </c>
      <c r="K17" s="76"/>
      <c r="L17" s="76"/>
      <c r="N17"/>
      <c r="O17"/>
      <c r="P17"/>
      <c r="Q17"/>
      <c r="R17"/>
      <c r="S17"/>
      <c r="T17"/>
      <c r="U17"/>
      <c r="V17"/>
    </row>
    <row r="18" spans="2:22" x14ac:dyDescent="0.3">
      <c r="B18" s="76" t="s">
        <v>36</v>
      </c>
      <c r="C18" s="76" t="s">
        <v>22</v>
      </c>
      <c r="D18" s="76" t="s">
        <v>35</v>
      </c>
      <c r="E18" s="76" t="s">
        <v>15</v>
      </c>
      <c r="F18" s="77">
        <v>38810</v>
      </c>
      <c r="G18" s="76">
        <v>74</v>
      </c>
      <c r="H18" s="76">
        <v>63</v>
      </c>
      <c r="I18" s="76">
        <v>137</v>
      </c>
      <c r="J18" s="76">
        <v>68.5</v>
      </c>
      <c r="K18" s="76"/>
      <c r="L18" s="76"/>
      <c r="N18"/>
      <c r="O18"/>
      <c r="P18"/>
      <c r="Q18"/>
      <c r="R18"/>
      <c r="S18"/>
      <c r="T18"/>
      <c r="U18"/>
      <c r="V18"/>
    </row>
    <row r="19" spans="2:22" x14ac:dyDescent="0.3">
      <c r="B19" s="76" t="s">
        <v>37</v>
      </c>
      <c r="C19" s="76" t="s">
        <v>38</v>
      </c>
      <c r="D19" s="76" t="s">
        <v>20</v>
      </c>
      <c r="E19" s="76" t="s">
        <v>15</v>
      </c>
      <c r="F19" s="77">
        <v>35997</v>
      </c>
      <c r="G19" s="76">
        <v>80</v>
      </c>
      <c r="H19" s="76">
        <v>74</v>
      </c>
      <c r="I19" s="76">
        <v>154</v>
      </c>
      <c r="J19" s="76">
        <v>77</v>
      </c>
      <c r="K19" s="76"/>
      <c r="L19" s="76"/>
      <c r="N19"/>
      <c r="O19"/>
      <c r="P19"/>
      <c r="Q19"/>
      <c r="R19"/>
      <c r="S19"/>
      <c r="T19"/>
      <c r="U19"/>
      <c r="V19"/>
    </row>
    <row r="20" spans="2:22" x14ac:dyDescent="0.3">
      <c r="B20" s="76" t="s">
        <v>39</v>
      </c>
      <c r="C20" s="76" t="s">
        <v>25</v>
      </c>
      <c r="D20" s="76" t="s">
        <v>31</v>
      </c>
      <c r="E20" s="76" t="s">
        <v>12</v>
      </c>
      <c r="F20" s="77">
        <v>36313</v>
      </c>
      <c r="G20" s="76">
        <v>89</v>
      </c>
      <c r="H20" s="76">
        <v>65</v>
      </c>
      <c r="I20" s="76">
        <v>154</v>
      </c>
      <c r="J20" s="76">
        <v>77</v>
      </c>
      <c r="K20" s="76"/>
      <c r="L20" s="76"/>
      <c r="N20"/>
      <c r="O20"/>
      <c r="P20"/>
      <c r="Q20"/>
      <c r="R20"/>
      <c r="S20"/>
      <c r="T20"/>
      <c r="U20"/>
      <c r="V20"/>
    </row>
    <row r="21" spans="2:22" x14ac:dyDescent="0.3">
      <c r="B21" s="76" t="s">
        <v>40</v>
      </c>
      <c r="C21" s="76" t="s">
        <v>10</v>
      </c>
      <c r="D21" s="76" t="s">
        <v>11</v>
      </c>
      <c r="E21" s="76" t="s">
        <v>15</v>
      </c>
      <c r="F21" s="77">
        <v>40869</v>
      </c>
      <c r="G21" s="76">
        <v>67</v>
      </c>
      <c r="H21" s="76">
        <v>67</v>
      </c>
      <c r="I21" s="76">
        <v>134</v>
      </c>
      <c r="J21" s="76">
        <v>67</v>
      </c>
      <c r="K21" s="76"/>
      <c r="L21" s="76"/>
      <c r="N21"/>
      <c r="O21"/>
      <c r="P21"/>
      <c r="Q21"/>
      <c r="R21"/>
      <c r="S21"/>
      <c r="T21"/>
      <c r="U21"/>
      <c r="V21"/>
    </row>
    <row r="22" spans="2:22" x14ac:dyDescent="0.3">
      <c r="B22" s="76" t="s">
        <v>41</v>
      </c>
      <c r="C22" s="76" t="s">
        <v>38</v>
      </c>
      <c r="D22" s="76" t="s">
        <v>35</v>
      </c>
      <c r="E22" s="76" t="s">
        <v>15</v>
      </c>
      <c r="F22" s="77">
        <v>37523</v>
      </c>
      <c r="G22" s="76">
        <v>70</v>
      </c>
      <c r="H22" s="76">
        <v>90</v>
      </c>
      <c r="I22" s="76">
        <v>160</v>
      </c>
      <c r="J22" s="76">
        <v>80</v>
      </c>
      <c r="K22" s="76"/>
      <c r="L22" s="76"/>
      <c r="N22"/>
      <c r="O22"/>
      <c r="P22"/>
      <c r="Q22"/>
      <c r="R22"/>
      <c r="S22"/>
      <c r="T22"/>
      <c r="U22"/>
      <c r="V22"/>
    </row>
    <row r="23" spans="2:22" x14ac:dyDescent="0.3">
      <c r="B23" s="76" t="s">
        <v>42</v>
      </c>
      <c r="C23" s="76" t="s">
        <v>17</v>
      </c>
      <c r="D23" s="76" t="s">
        <v>20</v>
      </c>
      <c r="E23" s="76" t="s">
        <v>12</v>
      </c>
      <c r="F23" s="77">
        <v>35083</v>
      </c>
      <c r="G23" s="76">
        <v>73</v>
      </c>
      <c r="H23" s="76">
        <v>72</v>
      </c>
      <c r="I23" s="76">
        <v>145</v>
      </c>
      <c r="J23" s="76">
        <v>72.5</v>
      </c>
      <c r="K23" s="76"/>
      <c r="L23" s="76"/>
      <c r="N23"/>
      <c r="O23"/>
      <c r="P23"/>
      <c r="Q23"/>
      <c r="R23"/>
      <c r="S23"/>
      <c r="T23"/>
      <c r="U23"/>
      <c r="V23"/>
    </row>
    <row r="24" spans="2:22" x14ac:dyDescent="0.3">
      <c r="B24" s="76" t="s">
        <v>43</v>
      </c>
      <c r="C24" s="76" t="s">
        <v>10</v>
      </c>
      <c r="D24" s="76" t="s">
        <v>31</v>
      </c>
      <c r="E24" s="76" t="s">
        <v>12</v>
      </c>
      <c r="F24" s="77">
        <v>35613</v>
      </c>
      <c r="G24" s="76">
        <v>72</v>
      </c>
      <c r="H24" s="76">
        <v>91</v>
      </c>
      <c r="I24" s="76">
        <v>163</v>
      </c>
      <c r="J24" s="76">
        <v>81.5</v>
      </c>
      <c r="K24" s="76"/>
      <c r="L24" s="76"/>
      <c r="N24"/>
      <c r="O24"/>
      <c r="P24"/>
      <c r="Q24"/>
      <c r="R24"/>
      <c r="S24"/>
      <c r="T24"/>
      <c r="U24"/>
      <c r="V24"/>
    </row>
    <row r="25" spans="2:22" x14ac:dyDescent="0.3">
      <c r="B25" s="76" t="s">
        <v>44</v>
      </c>
      <c r="C25" s="76" t="s">
        <v>29</v>
      </c>
      <c r="D25" s="76" t="s">
        <v>31</v>
      </c>
      <c r="E25" s="76" t="s">
        <v>12</v>
      </c>
      <c r="F25" s="77">
        <v>36993</v>
      </c>
      <c r="G25" s="76">
        <v>83</v>
      </c>
      <c r="H25" s="76">
        <v>93</v>
      </c>
      <c r="I25" s="76">
        <v>176</v>
      </c>
      <c r="J25" s="76">
        <v>88</v>
      </c>
      <c r="K25" s="76"/>
      <c r="L25" s="76"/>
      <c r="N25"/>
      <c r="O25"/>
      <c r="P25"/>
      <c r="Q25"/>
      <c r="R25"/>
      <c r="S25"/>
      <c r="T25"/>
      <c r="U25"/>
      <c r="V25"/>
    </row>
    <row r="26" spans="2:22" x14ac:dyDescent="0.3">
      <c r="B26" s="76" t="s">
        <v>45</v>
      </c>
      <c r="C26" s="76" t="s">
        <v>22</v>
      </c>
      <c r="D26" s="76" t="s">
        <v>11</v>
      </c>
      <c r="E26" s="76" t="s">
        <v>12</v>
      </c>
      <c r="F26" s="77">
        <v>41312</v>
      </c>
      <c r="G26" s="76">
        <v>92</v>
      </c>
      <c r="H26" s="76">
        <v>99</v>
      </c>
      <c r="I26" s="76">
        <v>191</v>
      </c>
      <c r="J26" s="76">
        <v>95.5</v>
      </c>
      <c r="K26" s="76"/>
      <c r="L26" s="76"/>
      <c r="N26"/>
      <c r="O26"/>
      <c r="P26"/>
      <c r="Q26"/>
      <c r="R26"/>
      <c r="S26"/>
      <c r="T26"/>
      <c r="U26"/>
      <c r="V26"/>
    </row>
    <row r="27" spans="2:22" x14ac:dyDescent="0.3">
      <c r="B27" s="76" t="s">
        <v>46</v>
      </c>
      <c r="C27" s="76" t="s">
        <v>38</v>
      </c>
      <c r="D27" s="76" t="s">
        <v>11</v>
      </c>
      <c r="E27" s="76" t="s">
        <v>15</v>
      </c>
      <c r="F27" s="77">
        <v>41278</v>
      </c>
      <c r="G27" s="76">
        <v>91</v>
      </c>
      <c r="H27" s="76">
        <v>60</v>
      </c>
      <c r="I27" s="76">
        <v>151</v>
      </c>
      <c r="J27" s="76">
        <v>75.5</v>
      </c>
      <c r="K27" s="76"/>
      <c r="L27" s="76"/>
      <c r="N27"/>
      <c r="O27"/>
      <c r="P27"/>
      <c r="Q27"/>
      <c r="R27"/>
      <c r="S27"/>
      <c r="T27"/>
      <c r="U27"/>
      <c r="V27"/>
    </row>
    <row r="28" spans="2:22" x14ac:dyDescent="0.3">
      <c r="B28" s="76" t="s">
        <v>47</v>
      </c>
      <c r="C28" s="76" t="s">
        <v>27</v>
      </c>
      <c r="D28" s="76" t="s">
        <v>23</v>
      </c>
      <c r="E28" s="76" t="s">
        <v>15</v>
      </c>
      <c r="F28" s="77">
        <v>40816</v>
      </c>
      <c r="G28" s="76">
        <v>69</v>
      </c>
      <c r="H28" s="76">
        <v>86</v>
      </c>
      <c r="I28" s="76">
        <v>155</v>
      </c>
      <c r="J28" s="76">
        <v>77.5</v>
      </c>
      <c r="K28" s="76"/>
      <c r="L28" s="76"/>
      <c r="N28"/>
      <c r="O28"/>
      <c r="P28"/>
      <c r="Q28"/>
      <c r="R28"/>
      <c r="S28"/>
      <c r="T28"/>
      <c r="U28"/>
      <c r="V28"/>
    </row>
    <row r="29" spans="2:22" x14ac:dyDescent="0.3">
      <c r="B29" s="76" t="s">
        <v>48</v>
      </c>
      <c r="C29" s="76" t="s">
        <v>14</v>
      </c>
      <c r="D29" s="76" t="s">
        <v>35</v>
      </c>
      <c r="E29" s="76" t="s">
        <v>12</v>
      </c>
      <c r="F29" s="77">
        <v>38980</v>
      </c>
      <c r="G29" s="76">
        <v>87</v>
      </c>
      <c r="H29" s="76">
        <v>92</v>
      </c>
      <c r="I29" s="76">
        <v>179</v>
      </c>
      <c r="J29" s="76">
        <v>89.5</v>
      </c>
      <c r="K29" s="76"/>
      <c r="L29" s="76"/>
      <c r="N29"/>
      <c r="O29"/>
      <c r="P29"/>
      <c r="Q29"/>
      <c r="R29"/>
      <c r="S29"/>
      <c r="T29"/>
      <c r="U29"/>
      <c r="V29"/>
    </row>
    <row r="30" spans="2:22" x14ac:dyDescent="0.3">
      <c r="B30" s="76" t="s">
        <v>49</v>
      </c>
      <c r="C30" s="76" t="s">
        <v>22</v>
      </c>
      <c r="D30" s="76" t="s">
        <v>31</v>
      </c>
      <c r="E30" s="76" t="s">
        <v>15</v>
      </c>
      <c r="F30" s="77">
        <v>37049</v>
      </c>
      <c r="G30" s="76">
        <v>92</v>
      </c>
      <c r="H30" s="76">
        <v>91</v>
      </c>
      <c r="I30" s="76">
        <v>183</v>
      </c>
      <c r="J30" s="76">
        <v>91.5</v>
      </c>
      <c r="K30" s="76"/>
      <c r="L30" s="76"/>
      <c r="N30"/>
      <c r="O30"/>
      <c r="P30"/>
      <c r="Q30"/>
      <c r="R30"/>
      <c r="S30"/>
      <c r="T30"/>
      <c r="U30"/>
      <c r="V30"/>
    </row>
    <row r="31" spans="2:22" x14ac:dyDescent="0.3">
      <c r="B31" s="76" t="s">
        <v>50</v>
      </c>
      <c r="C31" s="76" t="s">
        <v>22</v>
      </c>
      <c r="D31" s="76" t="s">
        <v>11</v>
      </c>
      <c r="E31" s="76" t="s">
        <v>12</v>
      </c>
      <c r="F31" s="77">
        <v>41568</v>
      </c>
      <c r="G31" s="76">
        <v>78</v>
      </c>
      <c r="H31" s="76">
        <v>78</v>
      </c>
      <c r="I31" s="76">
        <v>156</v>
      </c>
      <c r="J31" s="76">
        <v>78</v>
      </c>
      <c r="K31" s="76"/>
      <c r="L31" s="76"/>
      <c r="N31"/>
      <c r="O31"/>
      <c r="P31"/>
      <c r="Q31"/>
      <c r="R31"/>
      <c r="S31"/>
      <c r="T31"/>
      <c r="U31"/>
      <c r="V31"/>
    </row>
    <row r="32" spans="2:22" x14ac:dyDescent="0.3">
      <c r="B32" s="76" t="s">
        <v>51</v>
      </c>
      <c r="C32" s="76" t="s">
        <v>22</v>
      </c>
      <c r="D32" s="76" t="s">
        <v>35</v>
      </c>
      <c r="E32" s="76" t="s">
        <v>12</v>
      </c>
      <c r="F32" s="77">
        <v>37418</v>
      </c>
      <c r="G32" s="76">
        <v>81</v>
      </c>
      <c r="H32" s="76">
        <v>78</v>
      </c>
      <c r="I32" s="76">
        <v>159</v>
      </c>
      <c r="J32" s="76">
        <v>79.5</v>
      </c>
      <c r="K32" s="76"/>
      <c r="L32" s="76"/>
      <c r="N32"/>
      <c r="O32"/>
      <c r="P32"/>
      <c r="Q32"/>
      <c r="R32"/>
      <c r="S32"/>
      <c r="T32"/>
      <c r="U32"/>
      <c r="V32"/>
    </row>
    <row r="33" spans="2:22" x14ac:dyDescent="0.3">
      <c r="B33" s="76" t="s">
        <v>52</v>
      </c>
      <c r="C33" s="76" t="s">
        <v>53</v>
      </c>
      <c r="D33" s="76" t="s">
        <v>20</v>
      </c>
      <c r="E33" s="76" t="s">
        <v>15</v>
      </c>
      <c r="F33" s="77">
        <v>35235</v>
      </c>
      <c r="G33" s="76">
        <v>88</v>
      </c>
      <c r="H33" s="76">
        <v>92</v>
      </c>
      <c r="I33" s="76">
        <v>180</v>
      </c>
      <c r="J33" s="76">
        <v>90</v>
      </c>
      <c r="K33" s="76"/>
      <c r="L33" s="76"/>
      <c r="N33"/>
      <c r="O33"/>
      <c r="P33"/>
      <c r="Q33"/>
      <c r="R33"/>
      <c r="S33"/>
      <c r="T33"/>
      <c r="U33"/>
      <c r="V33"/>
    </row>
    <row r="34" spans="2:22" x14ac:dyDescent="0.3">
      <c r="B34" s="76" t="s">
        <v>54</v>
      </c>
      <c r="C34" s="76" t="s">
        <v>27</v>
      </c>
      <c r="D34" s="76" t="s">
        <v>35</v>
      </c>
      <c r="E34" s="76" t="s">
        <v>12</v>
      </c>
      <c r="F34" s="77">
        <v>38672</v>
      </c>
      <c r="G34" s="76">
        <v>75</v>
      </c>
      <c r="H34" s="76">
        <v>70</v>
      </c>
      <c r="I34" s="76">
        <v>145</v>
      </c>
      <c r="J34" s="76">
        <v>72.5</v>
      </c>
      <c r="K34" s="76"/>
      <c r="L34" s="76"/>
      <c r="N34"/>
      <c r="O34"/>
      <c r="P34"/>
      <c r="Q34"/>
      <c r="R34"/>
      <c r="S34"/>
      <c r="T34"/>
      <c r="U34"/>
      <c r="V34"/>
    </row>
    <row r="35" spans="2:22" x14ac:dyDescent="0.3">
      <c r="B35" s="76" t="s">
        <v>55</v>
      </c>
      <c r="C35" s="76" t="s">
        <v>17</v>
      </c>
      <c r="D35" s="76" t="s">
        <v>23</v>
      </c>
      <c r="E35" s="76" t="s">
        <v>12</v>
      </c>
      <c r="F35" s="77">
        <v>40826</v>
      </c>
      <c r="G35" s="76">
        <v>94</v>
      </c>
      <c r="H35" s="76">
        <v>84</v>
      </c>
      <c r="I35" s="76">
        <v>178</v>
      </c>
      <c r="J35" s="76">
        <v>89</v>
      </c>
      <c r="K35" s="76"/>
      <c r="L35" s="76"/>
      <c r="N35"/>
      <c r="O35"/>
      <c r="P35"/>
      <c r="Q35"/>
      <c r="R35"/>
      <c r="S35"/>
      <c r="T35"/>
      <c r="U35"/>
      <c r="V35"/>
    </row>
    <row r="36" spans="2:22" x14ac:dyDescent="0.3">
      <c r="B36" s="76" t="s">
        <v>56</v>
      </c>
      <c r="C36" s="76" t="s">
        <v>17</v>
      </c>
      <c r="D36" s="76" t="s">
        <v>35</v>
      </c>
      <c r="E36" s="76" t="s">
        <v>15</v>
      </c>
      <c r="F36" s="77">
        <v>38758</v>
      </c>
      <c r="G36" s="76">
        <v>67</v>
      </c>
      <c r="H36" s="76">
        <v>74</v>
      </c>
      <c r="I36" s="76">
        <v>141</v>
      </c>
      <c r="J36" s="76">
        <v>70.5</v>
      </c>
      <c r="K36" s="76"/>
      <c r="L36" s="76"/>
      <c r="N36"/>
      <c r="O36"/>
      <c r="P36"/>
      <c r="Q36"/>
      <c r="R36"/>
      <c r="S36"/>
      <c r="T36"/>
      <c r="U36"/>
      <c r="V36"/>
    </row>
    <row r="37" spans="2:22" x14ac:dyDescent="0.3">
      <c r="B37" s="76" t="s">
        <v>57</v>
      </c>
      <c r="C37" s="76" t="s">
        <v>27</v>
      </c>
      <c r="D37" s="76" t="s">
        <v>20</v>
      </c>
      <c r="E37" s="76" t="s">
        <v>12</v>
      </c>
      <c r="F37" s="77">
        <v>35257</v>
      </c>
      <c r="G37" s="76">
        <v>73</v>
      </c>
      <c r="H37" s="76">
        <v>99</v>
      </c>
      <c r="I37" s="76">
        <v>172</v>
      </c>
      <c r="J37" s="76">
        <v>86</v>
      </c>
      <c r="K37" s="76"/>
      <c r="L37" s="76"/>
      <c r="N37"/>
      <c r="O37"/>
      <c r="P37"/>
      <c r="Q37"/>
      <c r="R37"/>
      <c r="S37"/>
      <c r="T37"/>
      <c r="U37"/>
      <c r="V37"/>
    </row>
    <row r="38" spans="2:22" x14ac:dyDescent="0.3">
      <c r="B38" s="76" t="s">
        <v>58</v>
      </c>
      <c r="C38" s="76" t="s">
        <v>27</v>
      </c>
      <c r="D38" s="76" t="s">
        <v>23</v>
      </c>
      <c r="E38" s="76" t="s">
        <v>15</v>
      </c>
      <c r="F38" s="77">
        <v>39168</v>
      </c>
      <c r="G38" s="76">
        <v>87</v>
      </c>
      <c r="H38" s="76">
        <v>87</v>
      </c>
      <c r="I38" s="76">
        <v>174</v>
      </c>
      <c r="J38" s="76">
        <v>87</v>
      </c>
      <c r="K38" s="76"/>
      <c r="L38" s="76"/>
      <c r="N38"/>
      <c r="O38"/>
      <c r="P38"/>
      <c r="Q38"/>
      <c r="R38"/>
      <c r="S38"/>
      <c r="T38"/>
      <c r="U38"/>
      <c r="V38"/>
    </row>
    <row r="39" spans="2:22" x14ac:dyDescent="0.3">
      <c r="B39" s="76" t="s">
        <v>59</v>
      </c>
      <c r="C39" s="76" t="s">
        <v>25</v>
      </c>
      <c r="D39" s="76" t="s">
        <v>35</v>
      </c>
      <c r="E39" s="76" t="s">
        <v>12</v>
      </c>
      <c r="F39" s="77">
        <v>37335</v>
      </c>
      <c r="G39" s="76">
        <v>91</v>
      </c>
      <c r="H39" s="76">
        <v>77</v>
      </c>
      <c r="I39" s="76">
        <v>168</v>
      </c>
      <c r="J39" s="76">
        <v>84</v>
      </c>
      <c r="K39" s="76"/>
      <c r="L39" s="76"/>
      <c r="N39"/>
      <c r="O39"/>
      <c r="P39"/>
      <c r="Q39"/>
      <c r="R39"/>
      <c r="S39"/>
      <c r="T39"/>
      <c r="U39"/>
      <c r="V39"/>
    </row>
    <row r="40" spans="2:22" x14ac:dyDescent="0.3">
      <c r="B40" s="76" t="s">
        <v>60</v>
      </c>
      <c r="C40" s="76" t="s">
        <v>53</v>
      </c>
      <c r="D40" s="76" t="s">
        <v>11</v>
      </c>
      <c r="E40" s="76" t="s">
        <v>12</v>
      </c>
      <c r="F40" s="77">
        <v>40710</v>
      </c>
      <c r="G40" s="76">
        <v>66</v>
      </c>
      <c r="H40" s="76">
        <v>71</v>
      </c>
      <c r="I40" s="76">
        <v>137</v>
      </c>
      <c r="J40" s="76">
        <v>68.5</v>
      </c>
      <c r="K40" s="76"/>
      <c r="L40" s="76"/>
      <c r="N40"/>
      <c r="O40"/>
      <c r="P40"/>
      <c r="Q40"/>
      <c r="R40"/>
      <c r="S40"/>
      <c r="T40"/>
      <c r="U40"/>
      <c r="V40"/>
    </row>
    <row r="41" spans="2:22" x14ac:dyDescent="0.3">
      <c r="B41" s="76" t="s">
        <v>61</v>
      </c>
      <c r="C41" s="76" t="s">
        <v>38</v>
      </c>
      <c r="D41" s="76" t="s">
        <v>23</v>
      </c>
      <c r="E41" s="76" t="s">
        <v>15</v>
      </c>
      <c r="F41" s="77">
        <v>40788</v>
      </c>
      <c r="G41" s="76">
        <v>67</v>
      </c>
      <c r="H41" s="76">
        <v>60</v>
      </c>
      <c r="I41" s="76">
        <v>127</v>
      </c>
      <c r="J41" s="76">
        <v>63.5</v>
      </c>
      <c r="K41" s="76"/>
      <c r="L41" s="76"/>
      <c r="N41"/>
      <c r="O41"/>
      <c r="P41"/>
      <c r="Q41"/>
      <c r="R41"/>
      <c r="S41"/>
      <c r="T41"/>
      <c r="U41"/>
      <c r="V41"/>
    </row>
    <row r="42" spans="2:22" x14ac:dyDescent="0.3">
      <c r="B42" s="76" t="s">
        <v>62</v>
      </c>
      <c r="C42" s="76" t="s">
        <v>10</v>
      </c>
      <c r="D42" s="76" t="s">
        <v>35</v>
      </c>
      <c r="E42" s="76" t="s">
        <v>12</v>
      </c>
      <c r="F42" s="77">
        <v>38660</v>
      </c>
      <c r="G42" s="76">
        <v>88</v>
      </c>
      <c r="H42" s="76">
        <v>74</v>
      </c>
      <c r="I42" s="76">
        <v>162</v>
      </c>
      <c r="J42" s="76">
        <v>81</v>
      </c>
      <c r="K42" s="76"/>
      <c r="L42" s="76"/>
      <c r="N42"/>
      <c r="O42"/>
      <c r="P42"/>
      <c r="Q42"/>
      <c r="R42"/>
      <c r="S42"/>
      <c r="T42"/>
      <c r="U42"/>
      <c r="V42"/>
    </row>
    <row r="43" spans="2:22" x14ac:dyDescent="0.3">
      <c r="B43" s="76" t="s">
        <v>63</v>
      </c>
      <c r="C43" s="76" t="s">
        <v>27</v>
      </c>
      <c r="D43" s="76" t="s">
        <v>23</v>
      </c>
      <c r="E43" s="76" t="s">
        <v>12</v>
      </c>
      <c r="F43" s="77">
        <v>38891</v>
      </c>
      <c r="G43" s="76">
        <v>92</v>
      </c>
      <c r="H43" s="76">
        <v>94</v>
      </c>
      <c r="I43" s="76">
        <v>186</v>
      </c>
      <c r="J43" s="76">
        <v>93</v>
      </c>
      <c r="K43" s="76"/>
      <c r="L43" s="76"/>
      <c r="N43"/>
      <c r="O43"/>
      <c r="P43"/>
      <c r="Q43"/>
      <c r="R43"/>
      <c r="S43"/>
      <c r="T43"/>
      <c r="U43"/>
      <c r="V43"/>
    </row>
    <row r="44" spans="2:22" x14ac:dyDescent="0.3">
      <c r="B44" s="76" t="s">
        <v>64</v>
      </c>
      <c r="C44" s="76" t="s">
        <v>27</v>
      </c>
      <c r="D44" s="76" t="s">
        <v>31</v>
      </c>
      <c r="E44" s="76" t="s">
        <v>12</v>
      </c>
      <c r="F44" s="77">
        <v>36171</v>
      </c>
      <c r="G44" s="76">
        <v>84</v>
      </c>
      <c r="H44" s="76">
        <v>94</v>
      </c>
      <c r="I44" s="76">
        <v>178</v>
      </c>
      <c r="J44" s="76">
        <v>89</v>
      </c>
      <c r="K44" s="76"/>
      <c r="L44" s="76"/>
      <c r="N44"/>
      <c r="O44"/>
      <c r="P44"/>
      <c r="Q44"/>
      <c r="R44"/>
      <c r="S44"/>
      <c r="T44"/>
      <c r="U44"/>
      <c r="V44"/>
    </row>
    <row r="45" spans="2:22" x14ac:dyDescent="0.3">
      <c r="B45" s="76" t="s">
        <v>65</v>
      </c>
      <c r="C45" s="76" t="s">
        <v>14</v>
      </c>
      <c r="D45" s="76" t="s">
        <v>23</v>
      </c>
      <c r="E45" s="76" t="s">
        <v>12</v>
      </c>
      <c r="F45" s="77">
        <v>39157</v>
      </c>
      <c r="G45" s="76">
        <v>84</v>
      </c>
      <c r="H45" s="76">
        <v>62</v>
      </c>
      <c r="I45" s="76">
        <v>146</v>
      </c>
      <c r="J45" s="76">
        <v>73</v>
      </c>
      <c r="K45" s="76"/>
      <c r="L45" s="76"/>
      <c r="N45"/>
      <c r="O45"/>
      <c r="P45"/>
      <c r="Q45"/>
      <c r="R45"/>
      <c r="S45"/>
      <c r="T45"/>
      <c r="U45"/>
      <c r="V45"/>
    </row>
    <row r="46" spans="2:22" x14ac:dyDescent="0.3">
      <c r="B46" s="76" t="s">
        <v>66</v>
      </c>
      <c r="C46" s="76" t="s">
        <v>27</v>
      </c>
      <c r="D46" s="76" t="s">
        <v>11</v>
      </c>
      <c r="E46" s="76" t="s">
        <v>12</v>
      </c>
      <c r="F46" s="77">
        <v>41589</v>
      </c>
      <c r="G46" s="76">
        <v>68</v>
      </c>
      <c r="H46" s="76">
        <v>73</v>
      </c>
      <c r="I46" s="76">
        <v>141</v>
      </c>
      <c r="J46" s="76">
        <v>70.5</v>
      </c>
      <c r="K46" s="76"/>
      <c r="L46" s="76"/>
      <c r="N46"/>
      <c r="O46"/>
      <c r="P46"/>
      <c r="Q46"/>
      <c r="R46"/>
      <c r="S46"/>
      <c r="T46"/>
      <c r="U46"/>
      <c r="V46"/>
    </row>
    <row r="47" spans="2:22" x14ac:dyDescent="0.3">
      <c r="B47" s="76" t="s">
        <v>67</v>
      </c>
      <c r="C47" s="76" t="s">
        <v>68</v>
      </c>
      <c r="D47" s="76" t="s">
        <v>23</v>
      </c>
      <c r="E47" s="76" t="s">
        <v>15</v>
      </c>
      <c r="F47" s="77">
        <v>40080</v>
      </c>
      <c r="G47" s="76">
        <v>63</v>
      </c>
      <c r="H47" s="76">
        <v>62</v>
      </c>
      <c r="I47" s="76">
        <v>125</v>
      </c>
      <c r="J47" s="76">
        <v>62.5</v>
      </c>
      <c r="K47" s="76"/>
      <c r="L47" s="76"/>
      <c r="N47"/>
      <c r="O47"/>
      <c r="P47"/>
      <c r="Q47"/>
      <c r="R47"/>
      <c r="S47"/>
      <c r="T47"/>
      <c r="U47"/>
      <c r="V47"/>
    </row>
    <row r="48" spans="2:22" x14ac:dyDescent="0.3">
      <c r="B48" s="76" t="s">
        <v>69</v>
      </c>
      <c r="C48" s="76" t="s">
        <v>14</v>
      </c>
      <c r="D48" s="76" t="s">
        <v>31</v>
      </c>
      <c r="E48" s="76" t="s">
        <v>15</v>
      </c>
      <c r="F48" s="77">
        <v>35727</v>
      </c>
      <c r="G48" s="76">
        <v>88</v>
      </c>
      <c r="H48" s="76">
        <v>85</v>
      </c>
      <c r="I48" s="76">
        <v>173</v>
      </c>
      <c r="J48" s="76">
        <v>86.5</v>
      </c>
      <c r="K48" s="76"/>
      <c r="L48" s="76"/>
      <c r="N48"/>
      <c r="O48"/>
      <c r="P48"/>
      <c r="Q48"/>
      <c r="R48"/>
      <c r="S48"/>
      <c r="T48"/>
      <c r="U48"/>
      <c r="V48"/>
    </row>
    <row r="49" spans="2:22" x14ac:dyDescent="0.3">
      <c r="B49" s="76" t="s">
        <v>70</v>
      </c>
      <c r="C49" s="76" t="s">
        <v>27</v>
      </c>
      <c r="D49" s="76" t="s">
        <v>11</v>
      </c>
      <c r="E49" s="76" t="s">
        <v>12</v>
      </c>
      <c r="F49" s="77">
        <v>40883</v>
      </c>
      <c r="G49" s="76">
        <v>62</v>
      </c>
      <c r="H49" s="76">
        <v>95</v>
      </c>
      <c r="I49" s="76">
        <v>157</v>
      </c>
      <c r="J49" s="76">
        <v>78.5</v>
      </c>
      <c r="K49" s="76"/>
      <c r="L49" s="76"/>
      <c r="N49"/>
      <c r="O49"/>
      <c r="P49"/>
      <c r="Q49"/>
      <c r="R49"/>
      <c r="S49"/>
      <c r="T49"/>
      <c r="U49"/>
      <c r="V49"/>
    </row>
    <row r="50" spans="2:22" x14ac:dyDescent="0.3">
      <c r="B50" s="76" t="s">
        <v>71</v>
      </c>
      <c r="C50" s="76" t="s">
        <v>27</v>
      </c>
      <c r="D50" s="76" t="s">
        <v>11</v>
      </c>
      <c r="E50" s="76" t="s">
        <v>15</v>
      </c>
      <c r="F50" s="77">
        <v>41337</v>
      </c>
      <c r="G50" s="76">
        <v>95</v>
      </c>
      <c r="H50" s="76">
        <v>72</v>
      </c>
      <c r="I50" s="76">
        <v>167</v>
      </c>
      <c r="J50" s="76">
        <v>83.5</v>
      </c>
      <c r="K50" s="76"/>
      <c r="L50" s="76"/>
      <c r="N50"/>
      <c r="O50"/>
      <c r="P50"/>
      <c r="Q50"/>
      <c r="R50"/>
      <c r="S50"/>
      <c r="T50"/>
      <c r="U50"/>
      <c r="V50"/>
    </row>
    <row r="51" spans="2:22" x14ac:dyDescent="0.3">
      <c r="B51" s="76" t="s">
        <v>72</v>
      </c>
      <c r="C51" s="76" t="s">
        <v>17</v>
      </c>
      <c r="D51" s="76" t="s">
        <v>11</v>
      </c>
      <c r="E51" s="76" t="s">
        <v>12</v>
      </c>
      <c r="F51" s="77">
        <v>40683</v>
      </c>
      <c r="G51" s="76">
        <v>93</v>
      </c>
      <c r="H51" s="76">
        <v>69</v>
      </c>
      <c r="I51" s="76">
        <v>162</v>
      </c>
      <c r="J51" s="76">
        <v>81</v>
      </c>
      <c r="K51" s="76"/>
      <c r="L51" s="76"/>
      <c r="N51"/>
      <c r="O51"/>
      <c r="P51"/>
      <c r="Q51"/>
      <c r="R51"/>
      <c r="S51"/>
      <c r="T51"/>
      <c r="U51"/>
      <c r="V51"/>
    </row>
    <row r="52" spans="2:22" x14ac:dyDescent="0.3">
      <c r="B52" s="76" t="s">
        <v>73</v>
      </c>
      <c r="C52" s="76" t="s">
        <v>27</v>
      </c>
      <c r="D52" s="76" t="s">
        <v>31</v>
      </c>
      <c r="E52" s="76" t="s">
        <v>12</v>
      </c>
      <c r="F52" s="77">
        <v>36843</v>
      </c>
      <c r="G52" s="76">
        <v>79</v>
      </c>
      <c r="H52" s="76">
        <v>71</v>
      </c>
      <c r="I52" s="76">
        <v>150</v>
      </c>
      <c r="J52" s="76">
        <v>75</v>
      </c>
      <c r="K52" s="76"/>
      <c r="L52" s="76"/>
      <c r="N52"/>
      <c r="O52"/>
      <c r="P52"/>
      <c r="Q52"/>
      <c r="R52"/>
      <c r="S52"/>
      <c r="T52"/>
      <c r="U52"/>
      <c r="V52"/>
    </row>
    <row r="53" spans="2:22" x14ac:dyDescent="0.3">
      <c r="B53" s="76" t="s">
        <v>74</v>
      </c>
      <c r="C53" s="76" t="s">
        <v>17</v>
      </c>
      <c r="D53" s="76" t="s">
        <v>35</v>
      </c>
      <c r="E53" s="76" t="s">
        <v>12</v>
      </c>
      <c r="F53" s="77">
        <v>37285</v>
      </c>
      <c r="G53" s="76">
        <v>69</v>
      </c>
      <c r="H53" s="76">
        <v>88</v>
      </c>
      <c r="I53" s="76">
        <v>157</v>
      </c>
      <c r="J53" s="76">
        <v>78.5</v>
      </c>
      <c r="K53" s="76"/>
      <c r="L53" s="76"/>
      <c r="N53"/>
      <c r="O53"/>
      <c r="P53"/>
      <c r="Q53"/>
      <c r="R53"/>
      <c r="S53"/>
      <c r="T53"/>
      <c r="U53"/>
      <c r="V53"/>
    </row>
    <row r="54" spans="2:22" x14ac:dyDescent="0.3">
      <c r="B54" s="76" t="s">
        <v>75</v>
      </c>
      <c r="C54" s="76" t="s">
        <v>53</v>
      </c>
      <c r="D54" s="76" t="s">
        <v>11</v>
      </c>
      <c r="E54" s="76" t="s">
        <v>15</v>
      </c>
      <c r="F54" s="77">
        <v>42699</v>
      </c>
      <c r="G54" s="76">
        <v>95</v>
      </c>
      <c r="H54" s="76">
        <v>83</v>
      </c>
      <c r="I54" s="76">
        <v>178</v>
      </c>
      <c r="J54" s="76">
        <v>89</v>
      </c>
      <c r="K54" s="76"/>
      <c r="L54" s="76"/>
      <c r="N54"/>
      <c r="O54"/>
      <c r="P54"/>
      <c r="Q54"/>
      <c r="R54"/>
      <c r="S54"/>
      <c r="T54"/>
      <c r="U54"/>
      <c r="V54"/>
    </row>
    <row r="55" spans="2:22" x14ac:dyDescent="0.3">
      <c r="B55" s="76" t="s">
        <v>76</v>
      </c>
      <c r="C55" s="76" t="s">
        <v>27</v>
      </c>
      <c r="D55" s="76" t="s">
        <v>11</v>
      </c>
      <c r="E55" s="76" t="s">
        <v>15</v>
      </c>
      <c r="F55" s="77">
        <v>42667</v>
      </c>
      <c r="G55" s="76">
        <v>64</v>
      </c>
      <c r="H55" s="76">
        <v>87</v>
      </c>
      <c r="I55" s="76">
        <v>151</v>
      </c>
      <c r="J55" s="76">
        <v>75.5</v>
      </c>
      <c r="K55" s="76"/>
      <c r="L55" s="76"/>
      <c r="N55"/>
      <c r="O55"/>
      <c r="P55"/>
      <c r="Q55"/>
      <c r="R55"/>
      <c r="S55"/>
      <c r="T55"/>
      <c r="U55"/>
      <c r="V55"/>
    </row>
    <row r="56" spans="2:22" x14ac:dyDescent="0.3">
      <c r="B56" s="76" t="s">
        <v>77</v>
      </c>
      <c r="C56" s="76" t="s">
        <v>17</v>
      </c>
      <c r="D56" s="76" t="s">
        <v>23</v>
      </c>
      <c r="E56" s="76" t="s">
        <v>12</v>
      </c>
      <c r="F56" s="77">
        <v>39605</v>
      </c>
      <c r="G56" s="76">
        <v>93</v>
      </c>
      <c r="H56" s="76">
        <v>64</v>
      </c>
      <c r="I56" s="76">
        <v>157</v>
      </c>
      <c r="J56" s="76">
        <v>78.5</v>
      </c>
      <c r="K56" s="76"/>
      <c r="L56" s="76"/>
      <c r="N56"/>
      <c r="O56"/>
      <c r="P56"/>
      <c r="Q56"/>
      <c r="R56"/>
      <c r="S56"/>
      <c r="T56"/>
      <c r="U56"/>
      <c r="V56"/>
    </row>
    <row r="57" spans="2:22" x14ac:dyDescent="0.3">
      <c r="B57" s="76" t="s">
        <v>78</v>
      </c>
      <c r="C57" s="76" t="s">
        <v>29</v>
      </c>
      <c r="D57" s="76" t="s">
        <v>23</v>
      </c>
      <c r="E57" s="76" t="s">
        <v>12</v>
      </c>
      <c r="F57" s="77">
        <v>40240</v>
      </c>
      <c r="G57" s="76">
        <v>67</v>
      </c>
      <c r="H57" s="76">
        <v>73</v>
      </c>
      <c r="I57" s="76">
        <v>140</v>
      </c>
      <c r="J57" s="76">
        <v>70</v>
      </c>
      <c r="K57" s="76"/>
      <c r="L57" s="76"/>
      <c r="N57"/>
      <c r="O57"/>
      <c r="P57"/>
      <c r="Q57"/>
      <c r="R57"/>
      <c r="S57"/>
      <c r="T57"/>
      <c r="U57"/>
      <c r="V57"/>
    </row>
    <row r="58" spans="2:22" x14ac:dyDescent="0.3">
      <c r="B58" s="76" t="s">
        <v>79</v>
      </c>
      <c r="C58" s="76" t="s">
        <v>22</v>
      </c>
      <c r="D58" s="76" t="s">
        <v>23</v>
      </c>
      <c r="E58" s="76" t="s">
        <v>12</v>
      </c>
      <c r="F58" s="77">
        <v>39542</v>
      </c>
      <c r="G58" s="76">
        <v>73</v>
      </c>
      <c r="H58" s="76">
        <v>60</v>
      </c>
      <c r="I58" s="76">
        <v>133</v>
      </c>
      <c r="J58" s="76">
        <v>66.5</v>
      </c>
      <c r="K58" s="76"/>
      <c r="L58" s="76"/>
      <c r="N58"/>
      <c r="O58"/>
      <c r="P58"/>
      <c r="Q58"/>
      <c r="R58"/>
      <c r="S58"/>
      <c r="T58"/>
      <c r="U58"/>
      <c r="V58"/>
    </row>
    <row r="59" spans="2:22" x14ac:dyDescent="0.3">
      <c r="B59" s="76" t="s">
        <v>80</v>
      </c>
      <c r="C59" s="76" t="s">
        <v>53</v>
      </c>
      <c r="D59" s="76" t="s">
        <v>23</v>
      </c>
      <c r="E59" s="76" t="s">
        <v>12</v>
      </c>
      <c r="F59" s="77">
        <v>40765</v>
      </c>
      <c r="G59" s="76">
        <v>60</v>
      </c>
      <c r="H59" s="76">
        <v>75</v>
      </c>
      <c r="I59" s="76">
        <v>135</v>
      </c>
      <c r="J59" s="76">
        <v>67.5</v>
      </c>
      <c r="K59" s="76"/>
      <c r="L59" s="76"/>
      <c r="N59"/>
      <c r="O59"/>
      <c r="P59"/>
      <c r="Q59"/>
      <c r="R59"/>
      <c r="S59"/>
      <c r="T59"/>
      <c r="U59"/>
      <c r="V59"/>
    </row>
    <row r="60" spans="2:22" x14ac:dyDescent="0.3">
      <c r="B60" s="76" t="s">
        <v>81</v>
      </c>
      <c r="C60" s="76" t="s">
        <v>10</v>
      </c>
      <c r="D60" s="76" t="s">
        <v>23</v>
      </c>
      <c r="E60" s="76" t="s">
        <v>12</v>
      </c>
      <c r="F60" s="77">
        <v>38912</v>
      </c>
      <c r="G60" s="76">
        <v>85</v>
      </c>
      <c r="H60" s="76">
        <v>94</v>
      </c>
      <c r="I60" s="76">
        <v>179</v>
      </c>
      <c r="J60" s="76">
        <v>89.5</v>
      </c>
      <c r="K60" s="76"/>
      <c r="L60" s="76"/>
      <c r="N60"/>
      <c r="O60"/>
      <c r="P60"/>
      <c r="Q60"/>
      <c r="R60"/>
      <c r="S60"/>
      <c r="T60"/>
      <c r="U60"/>
      <c r="V60"/>
    </row>
    <row r="61" spans="2:22" x14ac:dyDescent="0.3">
      <c r="B61" s="76" t="s">
        <v>82</v>
      </c>
      <c r="C61" s="76" t="s">
        <v>17</v>
      </c>
      <c r="D61" s="76" t="s">
        <v>31</v>
      </c>
      <c r="E61" s="76" t="s">
        <v>12</v>
      </c>
      <c r="F61" s="77">
        <v>37152</v>
      </c>
      <c r="G61" s="76">
        <v>97</v>
      </c>
      <c r="H61" s="76">
        <v>83</v>
      </c>
      <c r="I61" s="76">
        <v>180</v>
      </c>
      <c r="J61" s="76">
        <v>90</v>
      </c>
      <c r="K61" s="76"/>
      <c r="L61" s="76"/>
      <c r="N61"/>
      <c r="O61"/>
      <c r="P61"/>
      <c r="Q61"/>
      <c r="R61"/>
      <c r="S61"/>
      <c r="T61"/>
      <c r="U61"/>
      <c r="V61"/>
    </row>
    <row r="62" spans="2:22" x14ac:dyDescent="0.3">
      <c r="B62" s="76" t="s">
        <v>83</v>
      </c>
      <c r="C62" s="76" t="s">
        <v>25</v>
      </c>
      <c r="D62" s="76" t="s">
        <v>23</v>
      </c>
      <c r="E62" s="76" t="s">
        <v>12</v>
      </c>
      <c r="F62" s="77">
        <v>39779</v>
      </c>
      <c r="G62" s="76">
        <v>91</v>
      </c>
      <c r="H62" s="76">
        <v>84</v>
      </c>
      <c r="I62" s="76">
        <v>175</v>
      </c>
      <c r="J62" s="76">
        <v>87.5</v>
      </c>
      <c r="K62" s="76"/>
      <c r="L62" s="76"/>
      <c r="N62"/>
      <c r="O62"/>
      <c r="P62"/>
      <c r="Q62"/>
      <c r="R62"/>
      <c r="S62"/>
      <c r="T62"/>
      <c r="U62"/>
      <c r="V62"/>
    </row>
    <row r="63" spans="2:22" x14ac:dyDescent="0.3">
      <c r="B63" s="76" t="s">
        <v>84</v>
      </c>
      <c r="C63" s="76" t="s">
        <v>25</v>
      </c>
      <c r="D63" s="76" t="s">
        <v>23</v>
      </c>
      <c r="E63" s="76" t="s">
        <v>12</v>
      </c>
      <c r="F63" s="77">
        <v>40200</v>
      </c>
      <c r="G63" s="76">
        <v>75</v>
      </c>
      <c r="H63" s="76">
        <v>75</v>
      </c>
      <c r="I63" s="76">
        <v>150</v>
      </c>
      <c r="J63" s="76">
        <v>75</v>
      </c>
      <c r="K63" s="76"/>
      <c r="L63" s="76"/>
      <c r="N63"/>
      <c r="O63"/>
      <c r="P63"/>
      <c r="Q63"/>
      <c r="R63"/>
      <c r="S63"/>
      <c r="T63"/>
      <c r="U63"/>
      <c r="V63"/>
    </row>
    <row r="64" spans="2:22" x14ac:dyDescent="0.3">
      <c r="B64" s="76" t="s">
        <v>85</v>
      </c>
      <c r="C64" s="76" t="s">
        <v>25</v>
      </c>
      <c r="D64" s="76" t="s">
        <v>23</v>
      </c>
      <c r="E64" s="76" t="s">
        <v>12</v>
      </c>
      <c r="F64" s="77">
        <v>41030</v>
      </c>
      <c r="G64" s="76">
        <v>80</v>
      </c>
      <c r="H64" s="76">
        <v>79</v>
      </c>
      <c r="I64" s="76">
        <v>159</v>
      </c>
      <c r="J64" s="76">
        <v>79.5</v>
      </c>
      <c r="K64" s="76"/>
      <c r="L64" s="76"/>
      <c r="N64"/>
      <c r="O64"/>
      <c r="P64"/>
      <c r="Q64"/>
      <c r="R64"/>
      <c r="S64"/>
      <c r="T64"/>
      <c r="U64"/>
      <c r="V64"/>
    </row>
    <row r="65" spans="2:22" x14ac:dyDescent="0.3">
      <c r="B65" s="76" t="s">
        <v>86</v>
      </c>
      <c r="C65" s="76" t="s">
        <v>53</v>
      </c>
      <c r="D65" s="76" t="s">
        <v>31</v>
      </c>
      <c r="E65" s="76" t="s">
        <v>15</v>
      </c>
      <c r="F65" s="77">
        <v>36255</v>
      </c>
      <c r="G65" s="76">
        <v>87</v>
      </c>
      <c r="H65" s="76">
        <v>97</v>
      </c>
      <c r="I65" s="76">
        <v>184</v>
      </c>
      <c r="J65" s="76">
        <v>92</v>
      </c>
      <c r="K65" s="76"/>
      <c r="L65" s="76"/>
      <c r="N65"/>
      <c r="O65"/>
      <c r="P65"/>
      <c r="Q65"/>
      <c r="R65"/>
      <c r="S65"/>
      <c r="T65"/>
      <c r="U65"/>
      <c r="V65"/>
    </row>
    <row r="66" spans="2:22" x14ac:dyDescent="0.3">
      <c r="B66" s="76" t="s">
        <v>87</v>
      </c>
      <c r="C66" s="76" t="s">
        <v>68</v>
      </c>
      <c r="D66" s="76" t="s">
        <v>20</v>
      </c>
      <c r="E66" s="76" t="s">
        <v>12</v>
      </c>
      <c r="F66" s="77">
        <v>36419</v>
      </c>
      <c r="G66" s="76">
        <v>61</v>
      </c>
      <c r="H66" s="76">
        <v>71</v>
      </c>
      <c r="I66" s="76">
        <v>132</v>
      </c>
      <c r="J66" s="76">
        <v>66</v>
      </c>
      <c r="K66" s="76"/>
      <c r="L66" s="76"/>
      <c r="N66"/>
      <c r="O66"/>
      <c r="P66"/>
      <c r="Q66"/>
      <c r="R66"/>
      <c r="S66"/>
      <c r="T66"/>
      <c r="U66"/>
      <c r="V66"/>
    </row>
    <row r="67" spans="2:22" x14ac:dyDescent="0.3">
      <c r="B67" s="76" t="s">
        <v>88</v>
      </c>
      <c r="C67" s="76" t="s">
        <v>27</v>
      </c>
      <c r="D67" s="76" t="s">
        <v>35</v>
      </c>
      <c r="E67" s="76" t="s">
        <v>12</v>
      </c>
      <c r="F67" s="77">
        <v>38847</v>
      </c>
      <c r="G67" s="76">
        <v>99</v>
      </c>
      <c r="H67" s="76">
        <v>75</v>
      </c>
      <c r="I67" s="76">
        <v>174</v>
      </c>
      <c r="J67" s="76">
        <v>87</v>
      </c>
      <c r="K67" s="76"/>
      <c r="L67" s="76"/>
      <c r="N67"/>
      <c r="O67"/>
      <c r="P67"/>
      <c r="Q67"/>
      <c r="R67"/>
      <c r="S67"/>
      <c r="T67"/>
      <c r="U67"/>
      <c r="V67"/>
    </row>
    <row r="68" spans="2:22" x14ac:dyDescent="0.3">
      <c r="B68" s="76" t="s">
        <v>89</v>
      </c>
      <c r="C68" s="76" t="s">
        <v>53</v>
      </c>
      <c r="D68" s="76" t="s">
        <v>35</v>
      </c>
      <c r="E68" s="76" t="s">
        <v>15</v>
      </c>
      <c r="F68" s="77">
        <v>38987</v>
      </c>
      <c r="G68" s="76">
        <v>75</v>
      </c>
      <c r="H68" s="76">
        <v>61</v>
      </c>
      <c r="I68" s="76">
        <v>136</v>
      </c>
      <c r="J68" s="76">
        <v>68</v>
      </c>
      <c r="K68" s="76"/>
      <c r="L68" s="76"/>
      <c r="N68"/>
      <c r="O68"/>
      <c r="P68"/>
      <c r="Q68"/>
      <c r="R68"/>
      <c r="S68"/>
      <c r="T68"/>
      <c r="U68"/>
      <c r="V68"/>
    </row>
    <row r="69" spans="2:22" x14ac:dyDescent="0.3">
      <c r="B69" s="76" t="s">
        <v>90</v>
      </c>
      <c r="C69" s="76" t="s">
        <v>29</v>
      </c>
      <c r="D69" s="76" t="s">
        <v>11</v>
      </c>
      <c r="E69" s="76" t="s">
        <v>15</v>
      </c>
      <c r="F69" s="77">
        <v>41157</v>
      </c>
      <c r="G69" s="76">
        <v>77</v>
      </c>
      <c r="H69" s="76">
        <v>63</v>
      </c>
      <c r="I69" s="76">
        <v>140</v>
      </c>
      <c r="J69" s="76">
        <v>70</v>
      </c>
      <c r="K69" s="76"/>
      <c r="L69" s="76"/>
      <c r="N69"/>
      <c r="O69"/>
      <c r="P69"/>
      <c r="Q69"/>
      <c r="R69"/>
      <c r="S69"/>
      <c r="T69"/>
      <c r="U69"/>
      <c r="V69"/>
    </row>
    <row r="70" spans="2:22" x14ac:dyDescent="0.3">
      <c r="B70" s="76" t="s">
        <v>91</v>
      </c>
      <c r="C70" s="76" t="s">
        <v>29</v>
      </c>
      <c r="D70" s="76" t="s">
        <v>35</v>
      </c>
      <c r="E70" s="76" t="s">
        <v>12</v>
      </c>
      <c r="F70" s="77">
        <v>38828</v>
      </c>
      <c r="G70" s="76">
        <v>60</v>
      </c>
      <c r="H70" s="76">
        <v>86</v>
      </c>
      <c r="I70" s="76">
        <v>146</v>
      </c>
      <c r="J70" s="76">
        <v>73</v>
      </c>
      <c r="K70" s="76"/>
      <c r="L70" s="76"/>
      <c r="N70"/>
      <c r="O70"/>
      <c r="P70"/>
      <c r="Q70"/>
      <c r="R70"/>
      <c r="S70"/>
      <c r="T70"/>
      <c r="U70"/>
      <c r="V70"/>
    </row>
    <row r="71" spans="2:22" x14ac:dyDescent="0.3">
      <c r="B71" s="76" t="s">
        <v>92</v>
      </c>
      <c r="C71" s="76" t="s">
        <v>22</v>
      </c>
      <c r="D71" s="76" t="s">
        <v>20</v>
      </c>
      <c r="E71" s="76" t="s">
        <v>12</v>
      </c>
      <c r="F71" s="77">
        <v>36441</v>
      </c>
      <c r="G71" s="76">
        <v>97</v>
      </c>
      <c r="H71" s="76">
        <v>94</v>
      </c>
      <c r="I71" s="76">
        <v>191</v>
      </c>
      <c r="J71" s="76">
        <v>95.5</v>
      </c>
      <c r="K71" s="76"/>
      <c r="L71" s="76"/>
      <c r="N71"/>
      <c r="O71"/>
      <c r="P71"/>
      <c r="Q71"/>
      <c r="R71"/>
      <c r="S71"/>
      <c r="T71"/>
      <c r="U71"/>
      <c r="V71"/>
    </row>
    <row r="72" spans="2:22" x14ac:dyDescent="0.3">
      <c r="B72" s="76" t="s">
        <v>93</v>
      </c>
      <c r="C72" s="76" t="s">
        <v>25</v>
      </c>
      <c r="D72" s="76" t="s">
        <v>20</v>
      </c>
      <c r="E72" s="76" t="s">
        <v>12</v>
      </c>
      <c r="F72" s="77">
        <v>35908</v>
      </c>
      <c r="G72" s="76">
        <v>75</v>
      </c>
      <c r="H72" s="76">
        <v>90</v>
      </c>
      <c r="I72" s="76">
        <v>165</v>
      </c>
      <c r="J72" s="76">
        <v>82.5</v>
      </c>
      <c r="K72" s="76"/>
      <c r="L72" s="76"/>
      <c r="N72"/>
      <c r="O72"/>
      <c r="P72"/>
      <c r="Q72"/>
      <c r="R72"/>
      <c r="S72"/>
      <c r="T72"/>
      <c r="U72"/>
      <c r="V72"/>
    </row>
    <row r="73" spans="2:22" x14ac:dyDescent="0.3">
      <c r="B73" s="76" t="s">
        <v>94</v>
      </c>
      <c r="C73" s="76" t="s">
        <v>68</v>
      </c>
      <c r="D73" s="76" t="s">
        <v>11</v>
      </c>
      <c r="E73" s="76" t="s">
        <v>12</v>
      </c>
      <c r="F73" s="77">
        <v>41765</v>
      </c>
      <c r="G73" s="76">
        <v>81</v>
      </c>
      <c r="H73" s="76">
        <v>65</v>
      </c>
      <c r="I73" s="76">
        <v>146</v>
      </c>
      <c r="J73" s="76">
        <v>73</v>
      </c>
      <c r="K73" s="76"/>
      <c r="L73" s="76"/>
      <c r="N73"/>
      <c r="O73"/>
      <c r="P73"/>
      <c r="Q73"/>
      <c r="R73"/>
      <c r="S73"/>
      <c r="T73"/>
      <c r="U73"/>
      <c r="V73"/>
    </row>
    <row r="74" spans="2:22" x14ac:dyDescent="0.3">
      <c r="B74" s="76" t="s">
        <v>95</v>
      </c>
      <c r="C74" s="76" t="s">
        <v>10</v>
      </c>
      <c r="D74" s="76" t="s">
        <v>23</v>
      </c>
      <c r="E74" s="76" t="s">
        <v>12</v>
      </c>
      <c r="F74" s="77">
        <v>38889</v>
      </c>
      <c r="G74" s="76">
        <v>62</v>
      </c>
      <c r="H74" s="76">
        <v>70</v>
      </c>
      <c r="I74" s="76">
        <v>132</v>
      </c>
      <c r="J74" s="76">
        <v>66</v>
      </c>
      <c r="K74" s="76"/>
      <c r="L74" s="76"/>
      <c r="N74"/>
      <c r="O74"/>
      <c r="P74"/>
      <c r="Q74"/>
      <c r="R74"/>
      <c r="S74"/>
      <c r="T74"/>
      <c r="U74"/>
      <c r="V74"/>
    </row>
    <row r="75" spans="2:22" x14ac:dyDescent="0.3">
      <c r="B75" s="76" t="s">
        <v>96</v>
      </c>
      <c r="C75" s="76" t="s">
        <v>25</v>
      </c>
      <c r="D75" s="76" t="s">
        <v>11</v>
      </c>
      <c r="E75" s="76" t="s">
        <v>12</v>
      </c>
      <c r="F75" s="77">
        <v>41873</v>
      </c>
      <c r="G75" s="76">
        <v>76</v>
      </c>
      <c r="H75" s="76">
        <v>89</v>
      </c>
      <c r="I75" s="76">
        <v>165</v>
      </c>
      <c r="J75" s="76">
        <v>82.5</v>
      </c>
      <c r="K75" s="76"/>
      <c r="L75" s="76"/>
      <c r="N75"/>
      <c r="O75"/>
      <c r="P75"/>
      <c r="Q75"/>
      <c r="R75"/>
      <c r="S75"/>
      <c r="T75"/>
      <c r="U75"/>
      <c r="V75"/>
    </row>
    <row r="76" spans="2:22" x14ac:dyDescent="0.3">
      <c r="B76" s="76" t="s">
        <v>97</v>
      </c>
      <c r="C76" s="76" t="s">
        <v>22</v>
      </c>
      <c r="D76" s="76" t="s">
        <v>23</v>
      </c>
      <c r="E76" s="76" t="s">
        <v>12</v>
      </c>
      <c r="F76" s="77">
        <v>40102</v>
      </c>
      <c r="G76" s="76">
        <v>62</v>
      </c>
      <c r="H76" s="76">
        <v>67</v>
      </c>
      <c r="I76" s="76">
        <v>129</v>
      </c>
      <c r="J76" s="76">
        <v>64.5</v>
      </c>
      <c r="K76" s="76"/>
      <c r="L76" s="76"/>
      <c r="N76"/>
      <c r="O76"/>
      <c r="P76"/>
      <c r="Q76"/>
      <c r="R76"/>
      <c r="S76"/>
      <c r="T76"/>
      <c r="U76"/>
      <c r="V76"/>
    </row>
    <row r="77" spans="2:22" x14ac:dyDescent="0.3">
      <c r="B77" s="76" t="s">
        <v>98</v>
      </c>
      <c r="C77" s="76" t="s">
        <v>22</v>
      </c>
      <c r="D77" s="76" t="s">
        <v>11</v>
      </c>
      <c r="E77" s="76" t="s">
        <v>12</v>
      </c>
      <c r="F77" s="77">
        <v>41914</v>
      </c>
      <c r="G77" s="76">
        <v>99</v>
      </c>
      <c r="H77" s="76">
        <v>90</v>
      </c>
      <c r="I77" s="76">
        <v>189</v>
      </c>
      <c r="J77" s="76">
        <v>94.5</v>
      </c>
      <c r="K77" s="76"/>
      <c r="L77" s="76"/>
      <c r="N77"/>
      <c r="O77"/>
      <c r="P77"/>
      <c r="Q77"/>
      <c r="R77"/>
      <c r="S77"/>
      <c r="T77"/>
      <c r="U77"/>
      <c r="V77"/>
    </row>
    <row r="78" spans="2:22" x14ac:dyDescent="0.3">
      <c r="B78" s="76" t="s">
        <v>99</v>
      </c>
      <c r="C78" s="76" t="s">
        <v>68</v>
      </c>
      <c r="D78" s="76" t="s">
        <v>35</v>
      </c>
      <c r="E78" s="76" t="s">
        <v>12</v>
      </c>
      <c r="F78" s="77">
        <v>37237</v>
      </c>
      <c r="G78" s="76">
        <v>60</v>
      </c>
      <c r="H78" s="76">
        <v>94</v>
      </c>
      <c r="I78" s="76">
        <v>154</v>
      </c>
      <c r="J78" s="76">
        <v>77</v>
      </c>
      <c r="K78" s="76"/>
      <c r="L78" s="76"/>
      <c r="N78"/>
      <c r="O78"/>
      <c r="P78"/>
      <c r="Q78"/>
      <c r="R78"/>
      <c r="S78"/>
      <c r="T78"/>
      <c r="U78"/>
      <c r="V78"/>
    </row>
    <row r="79" spans="2:22" x14ac:dyDescent="0.3">
      <c r="B79" s="76" t="s">
        <v>100</v>
      </c>
      <c r="C79" s="76" t="s">
        <v>25</v>
      </c>
      <c r="D79" s="76" t="s">
        <v>11</v>
      </c>
      <c r="E79" s="76" t="s">
        <v>12</v>
      </c>
      <c r="F79" s="77">
        <v>42951</v>
      </c>
      <c r="G79" s="76">
        <v>97</v>
      </c>
      <c r="H79" s="76">
        <v>88</v>
      </c>
      <c r="I79" s="76">
        <v>185</v>
      </c>
      <c r="J79" s="76">
        <v>92.5</v>
      </c>
      <c r="K79" s="76"/>
      <c r="L79" s="76"/>
      <c r="N79"/>
      <c r="O79"/>
      <c r="P79"/>
      <c r="Q79"/>
      <c r="R79"/>
      <c r="S79"/>
      <c r="T79"/>
      <c r="U79"/>
      <c r="V79"/>
    </row>
    <row r="80" spans="2:22" x14ac:dyDescent="0.3">
      <c r="B80" s="76" t="s">
        <v>101</v>
      </c>
      <c r="C80" s="76" t="s">
        <v>29</v>
      </c>
      <c r="D80" s="76" t="s">
        <v>11</v>
      </c>
      <c r="E80" s="76" t="s">
        <v>15</v>
      </c>
      <c r="F80" s="77">
        <v>42352</v>
      </c>
      <c r="G80" s="76">
        <v>96</v>
      </c>
      <c r="H80" s="76">
        <v>97</v>
      </c>
      <c r="I80" s="76">
        <v>193</v>
      </c>
      <c r="J80" s="76">
        <v>96.5</v>
      </c>
      <c r="K80" s="76"/>
      <c r="L80" s="76"/>
      <c r="N80"/>
      <c r="O80"/>
      <c r="P80"/>
      <c r="Q80"/>
      <c r="R80"/>
      <c r="S80"/>
      <c r="T80"/>
      <c r="U80"/>
      <c r="V80"/>
    </row>
    <row r="81" spans="2:22" x14ac:dyDescent="0.3">
      <c r="B81" s="76" t="s">
        <v>98</v>
      </c>
      <c r="C81" s="76" t="s">
        <v>22</v>
      </c>
      <c r="D81" s="76" t="s">
        <v>11</v>
      </c>
      <c r="E81" s="76" t="s">
        <v>12</v>
      </c>
      <c r="F81" s="77">
        <v>41914</v>
      </c>
      <c r="G81" s="76">
        <v>99</v>
      </c>
      <c r="H81" s="76">
        <v>90</v>
      </c>
      <c r="I81" s="76">
        <v>189</v>
      </c>
      <c r="J81" s="76">
        <v>94.5</v>
      </c>
      <c r="K81" s="76"/>
      <c r="L81" s="76"/>
      <c r="N81"/>
      <c r="O81"/>
      <c r="P81"/>
      <c r="Q81"/>
      <c r="R81"/>
      <c r="S81"/>
      <c r="T81"/>
      <c r="U81"/>
      <c r="V81"/>
    </row>
    <row r="82" spans="2:22" x14ac:dyDescent="0.3">
      <c r="B82" s="76" t="s">
        <v>99</v>
      </c>
      <c r="C82" s="76" t="s">
        <v>68</v>
      </c>
      <c r="D82" s="76" t="s">
        <v>35</v>
      </c>
      <c r="E82" s="76" t="s">
        <v>12</v>
      </c>
      <c r="F82" s="77">
        <v>37237</v>
      </c>
      <c r="G82" s="76">
        <v>60</v>
      </c>
      <c r="H82" s="76">
        <v>94</v>
      </c>
      <c r="I82" s="76">
        <v>154</v>
      </c>
      <c r="J82" s="76">
        <v>77</v>
      </c>
      <c r="K82" s="76"/>
      <c r="L82" s="76"/>
      <c r="N82"/>
      <c r="O82"/>
      <c r="P82"/>
      <c r="Q82"/>
      <c r="R82"/>
      <c r="S82"/>
      <c r="T82"/>
      <c r="U82"/>
      <c r="V82"/>
    </row>
    <row r="83" spans="2:22" x14ac:dyDescent="0.3">
      <c r="B83" s="76" t="s">
        <v>100</v>
      </c>
      <c r="C83" s="76" t="s">
        <v>25</v>
      </c>
      <c r="D83" s="76" t="s">
        <v>11</v>
      </c>
      <c r="E83" s="76" t="s">
        <v>12</v>
      </c>
      <c r="F83" s="77">
        <v>42951</v>
      </c>
      <c r="G83" s="76">
        <v>72</v>
      </c>
      <c r="H83" s="76">
        <v>88</v>
      </c>
      <c r="I83" s="76">
        <v>160</v>
      </c>
      <c r="J83" s="76">
        <v>80</v>
      </c>
      <c r="K83" s="76"/>
      <c r="L83" s="76"/>
      <c r="N83"/>
      <c r="O83"/>
      <c r="P83"/>
      <c r="Q83"/>
      <c r="R83"/>
      <c r="S83"/>
      <c r="T83"/>
      <c r="U83"/>
      <c r="V83"/>
    </row>
    <row r="84" spans="2:22" x14ac:dyDescent="0.3">
      <c r="B84" s="76" t="s">
        <v>101</v>
      </c>
      <c r="C84" s="76" t="s">
        <v>29</v>
      </c>
      <c r="D84" s="76" t="s">
        <v>11</v>
      </c>
      <c r="E84" s="76" t="s">
        <v>15</v>
      </c>
      <c r="F84" s="77">
        <v>42352</v>
      </c>
      <c r="G84" s="76">
        <v>80</v>
      </c>
      <c r="H84" s="76">
        <v>97</v>
      </c>
      <c r="I84" s="76">
        <v>177</v>
      </c>
      <c r="J84" s="76">
        <v>88.5</v>
      </c>
      <c r="K84" s="76"/>
      <c r="L84" s="76"/>
      <c r="N84"/>
      <c r="O84"/>
      <c r="P84"/>
      <c r="Q84"/>
      <c r="R84"/>
      <c r="S84"/>
      <c r="T84"/>
      <c r="U84"/>
      <c r="V84"/>
    </row>
  </sheetData>
  <phoneticPr fontId="2" type="noConversion"/>
  <pageMargins left="0.7" right="0.7" top="0.75" bottom="0.75" header="0.3" footer="0.3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123405-99D4-4317-9AED-3E7EB4910EA3}">
  <sheetPr codeName="Sheet11" filterMode="1">
    <tabColor rgb="FF0070C0"/>
  </sheetPr>
  <dimension ref="B2:AJ85"/>
  <sheetViews>
    <sheetView workbookViewId="0">
      <selection activeCell="U95" sqref="U94:U95"/>
    </sheetView>
  </sheetViews>
  <sheetFormatPr defaultRowHeight="16.5" x14ac:dyDescent="0.3"/>
  <cols>
    <col min="5" max="5" width="0" hidden="1" customWidth="1"/>
    <col min="6" max="6" width="11.25" hidden="1" customWidth="1"/>
    <col min="7" max="18" width="0" hidden="1" customWidth="1"/>
    <col min="19" max="19" width="10.75" customWidth="1"/>
  </cols>
  <sheetData>
    <row r="2" spans="2:36" x14ac:dyDescent="0.3">
      <c r="B2" s="5" t="s">
        <v>0</v>
      </c>
      <c r="C2" s="6" t="s">
        <v>1</v>
      </c>
      <c r="D2" s="6" t="s">
        <v>2</v>
      </c>
      <c r="E2" s="6" t="s">
        <v>3</v>
      </c>
      <c r="F2" s="6" t="s">
        <v>4</v>
      </c>
      <c r="G2" s="6" t="s">
        <v>5</v>
      </c>
      <c r="H2" s="6" t="s">
        <v>6</v>
      </c>
      <c r="I2" s="6" t="s">
        <v>7</v>
      </c>
      <c r="J2" s="7" t="s">
        <v>8</v>
      </c>
      <c r="K2" s="7" t="s">
        <v>195</v>
      </c>
      <c r="L2" s="7" t="s">
        <v>196</v>
      </c>
      <c r="M2" s="7" t="s">
        <v>197</v>
      </c>
      <c r="N2" s="7" t="s">
        <v>198</v>
      </c>
      <c r="O2" s="7" t="s">
        <v>199</v>
      </c>
      <c r="P2" s="7" t="s">
        <v>200</v>
      </c>
      <c r="Q2" s="7" t="s">
        <v>201</v>
      </c>
      <c r="R2" s="7" t="s">
        <v>202</v>
      </c>
      <c r="S2" s="7" t="s">
        <v>203</v>
      </c>
      <c r="T2" s="7" t="s">
        <v>204</v>
      </c>
      <c r="U2" s="7" t="s">
        <v>205</v>
      </c>
      <c r="V2" s="7" t="s">
        <v>206</v>
      </c>
      <c r="W2" s="7" t="s">
        <v>207</v>
      </c>
      <c r="X2" s="7" t="s">
        <v>208</v>
      </c>
      <c r="Y2" s="7" t="s">
        <v>209</v>
      </c>
      <c r="Z2" s="7" t="s">
        <v>210</v>
      </c>
      <c r="AA2" s="7" t="s">
        <v>211</v>
      </c>
      <c r="AB2" s="7" t="s">
        <v>212</v>
      </c>
      <c r="AC2" s="7" t="s">
        <v>213</v>
      </c>
      <c r="AD2" s="7" t="s">
        <v>214</v>
      </c>
      <c r="AE2" s="7" t="s">
        <v>215</v>
      </c>
      <c r="AF2" s="7" t="s">
        <v>216</v>
      </c>
      <c r="AG2" s="7" t="s">
        <v>217</v>
      </c>
      <c r="AH2" s="7" t="s">
        <v>218</v>
      </c>
      <c r="AI2" s="7" t="s">
        <v>219</v>
      </c>
      <c r="AJ2" s="7" t="s">
        <v>220</v>
      </c>
    </row>
    <row r="3" spans="2:36" x14ac:dyDescent="0.3">
      <c r="B3" s="3" t="s">
        <v>9</v>
      </c>
      <c r="C3" s="3" t="s">
        <v>10</v>
      </c>
      <c r="D3" s="3" t="s">
        <v>11</v>
      </c>
      <c r="E3" s="3" t="s">
        <v>12</v>
      </c>
      <c r="F3" s="12">
        <v>42830</v>
      </c>
      <c r="G3" s="3">
        <v>97</v>
      </c>
      <c r="H3" s="3">
        <v>70</v>
      </c>
      <c r="I3" s="3">
        <v>167</v>
      </c>
      <c r="J3" s="3">
        <v>83.5</v>
      </c>
      <c r="K3" t="s">
        <v>221</v>
      </c>
      <c r="L3" t="s">
        <v>222</v>
      </c>
      <c r="M3" t="s">
        <v>223</v>
      </c>
      <c r="N3" t="s">
        <v>224</v>
      </c>
      <c r="O3" t="s">
        <v>225</v>
      </c>
      <c r="P3" t="s">
        <v>226</v>
      </c>
      <c r="Q3" t="s">
        <v>227</v>
      </c>
      <c r="R3" t="s">
        <v>228</v>
      </c>
      <c r="S3" t="s">
        <v>229</v>
      </c>
      <c r="T3" t="s">
        <v>230</v>
      </c>
      <c r="U3" t="s">
        <v>231</v>
      </c>
      <c r="V3" t="s">
        <v>232</v>
      </c>
      <c r="W3" t="s">
        <v>233</v>
      </c>
      <c r="X3" t="s">
        <v>234</v>
      </c>
      <c r="Y3" t="s">
        <v>235</v>
      </c>
      <c r="Z3" t="s">
        <v>236</v>
      </c>
      <c r="AA3" t="s">
        <v>237</v>
      </c>
      <c r="AB3" t="s">
        <v>238</v>
      </c>
      <c r="AC3" t="s">
        <v>239</v>
      </c>
      <c r="AD3" t="s">
        <v>240</v>
      </c>
      <c r="AE3" t="s">
        <v>241</v>
      </c>
      <c r="AF3" t="s">
        <v>242</v>
      </c>
      <c r="AG3" t="s">
        <v>243</v>
      </c>
      <c r="AH3" t="s">
        <v>244</v>
      </c>
      <c r="AI3" t="s">
        <v>245</v>
      </c>
      <c r="AJ3" t="s">
        <v>246</v>
      </c>
    </row>
    <row r="4" spans="2:36" hidden="1" x14ac:dyDescent="0.3">
      <c r="B4" s="3" t="s">
        <v>13</v>
      </c>
      <c r="C4" s="3" t="s">
        <v>14</v>
      </c>
      <c r="D4" s="3" t="s">
        <v>11</v>
      </c>
      <c r="E4" s="3" t="s">
        <v>15</v>
      </c>
      <c r="F4" s="12">
        <v>40563</v>
      </c>
      <c r="G4" s="3">
        <v>93</v>
      </c>
      <c r="H4" s="3">
        <v>79</v>
      </c>
      <c r="I4" s="3">
        <v>172</v>
      </c>
      <c r="J4" s="3">
        <v>86</v>
      </c>
      <c r="K4" t="s">
        <v>221</v>
      </c>
      <c r="L4" t="s">
        <v>222</v>
      </c>
      <c r="M4" t="s">
        <v>223</v>
      </c>
      <c r="N4" t="s">
        <v>224</v>
      </c>
      <c r="O4" t="s">
        <v>225</v>
      </c>
      <c r="P4" t="s">
        <v>226</v>
      </c>
      <c r="Q4" t="s">
        <v>227</v>
      </c>
      <c r="R4" t="s">
        <v>228</v>
      </c>
      <c r="S4" t="s">
        <v>229</v>
      </c>
      <c r="T4" t="s">
        <v>230</v>
      </c>
      <c r="U4" t="s">
        <v>231</v>
      </c>
      <c r="V4" t="s">
        <v>232</v>
      </c>
      <c r="W4" t="s">
        <v>233</v>
      </c>
      <c r="X4" t="s">
        <v>234</v>
      </c>
      <c r="Y4" t="s">
        <v>235</v>
      </c>
      <c r="Z4" t="s">
        <v>236</v>
      </c>
      <c r="AA4" t="s">
        <v>237</v>
      </c>
      <c r="AB4" t="s">
        <v>238</v>
      </c>
      <c r="AC4" t="s">
        <v>239</v>
      </c>
      <c r="AD4" t="s">
        <v>240</v>
      </c>
      <c r="AE4" t="s">
        <v>241</v>
      </c>
      <c r="AF4" t="s">
        <v>242</v>
      </c>
      <c r="AG4" t="s">
        <v>243</v>
      </c>
      <c r="AH4" t="s">
        <v>244</v>
      </c>
      <c r="AI4" t="s">
        <v>245</v>
      </c>
      <c r="AJ4" t="s">
        <v>246</v>
      </c>
    </row>
    <row r="5" spans="2:36" hidden="1" x14ac:dyDescent="0.3">
      <c r="B5" s="3" t="s">
        <v>16</v>
      </c>
      <c r="C5" s="3" t="s">
        <v>17</v>
      </c>
      <c r="D5" s="3" t="s">
        <v>11</v>
      </c>
      <c r="E5" s="3" t="s">
        <v>12</v>
      </c>
      <c r="F5" s="12">
        <v>40809</v>
      </c>
      <c r="G5" s="3">
        <v>63</v>
      </c>
      <c r="H5" s="3">
        <v>75</v>
      </c>
      <c r="I5" s="3">
        <v>138</v>
      </c>
      <c r="J5" s="3">
        <v>69</v>
      </c>
      <c r="K5" t="s">
        <v>221</v>
      </c>
      <c r="L5" t="s">
        <v>222</v>
      </c>
      <c r="M5" t="s">
        <v>223</v>
      </c>
      <c r="N5" t="s">
        <v>224</v>
      </c>
      <c r="O5" t="s">
        <v>225</v>
      </c>
      <c r="P5" t="s">
        <v>226</v>
      </c>
      <c r="Q5" t="s">
        <v>227</v>
      </c>
      <c r="R5" t="s">
        <v>228</v>
      </c>
      <c r="S5" t="s">
        <v>229</v>
      </c>
      <c r="T5" t="s">
        <v>230</v>
      </c>
      <c r="U5" t="s">
        <v>231</v>
      </c>
      <c r="V5" t="s">
        <v>232</v>
      </c>
      <c r="W5" t="s">
        <v>233</v>
      </c>
      <c r="X5" t="s">
        <v>234</v>
      </c>
      <c r="Y5" t="s">
        <v>235</v>
      </c>
      <c r="Z5" t="s">
        <v>236</v>
      </c>
      <c r="AA5" t="s">
        <v>237</v>
      </c>
      <c r="AB5" t="s">
        <v>238</v>
      </c>
      <c r="AC5" t="s">
        <v>239</v>
      </c>
      <c r="AD5" t="s">
        <v>240</v>
      </c>
      <c r="AE5" t="s">
        <v>241</v>
      </c>
      <c r="AF5" t="s">
        <v>242</v>
      </c>
      <c r="AG5" t="s">
        <v>243</v>
      </c>
      <c r="AH5" t="s">
        <v>244</v>
      </c>
      <c r="AI5" t="s">
        <v>245</v>
      </c>
      <c r="AJ5" t="s">
        <v>246</v>
      </c>
    </row>
    <row r="6" spans="2:36" hidden="1" x14ac:dyDescent="0.3">
      <c r="B6" s="3" t="s">
        <v>18</v>
      </c>
      <c r="C6" s="3" t="s">
        <v>14</v>
      </c>
      <c r="D6" s="3" t="s">
        <v>11</v>
      </c>
      <c r="E6" s="3" t="s">
        <v>15</v>
      </c>
      <c r="F6" s="12">
        <v>42269</v>
      </c>
      <c r="G6" s="3">
        <v>89</v>
      </c>
      <c r="H6" s="3">
        <v>82</v>
      </c>
      <c r="I6" s="3">
        <v>171</v>
      </c>
      <c r="J6" s="3">
        <v>85.5</v>
      </c>
      <c r="K6" t="s">
        <v>221</v>
      </c>
      <c r="L6" t="s">
        <v>222</v>
      </c>
      <c r="M6" t="s">
        <v>223</v>
      </c>
      <c r="N6" t="s">
        <v>224</v>
      </c>
      <c r="O6" t="s">
        <v>225</v>
      </c>
      <c r="P6" t="s">
        <v>226</v>
      </c>
      <c r="Q6" t="s">
        <v>227</v>
      </c>
      <c r="R6" t="s">
        <v>228</v>
      </c>
      <c r="S6" t="s">
        <v>229</v>
      </c>
      <c r="T6" t="s">
        <v>230</v>
      </c>
      <c r="U6" t="s">
        <v>231</v>
      </c>
      <c r="V6" t="s">
        <v>232</v>
      </c>
      <c r="W6" t="s">
        <v>233</v>
      </c>
      <c r="X6" t="s">
        <v>234</v>
      </c>
      <c r="Y6" t="s">
        <v>235</v>
      </c>
      <c r="Z6" t="s">
        <v>236</v>
      </c>
      <c r="AA6" t="s">
        <v>237</v>
      </c>
      <c r="AB6" t="s">
        <v>238</v>
      </c>
      <c r="AC6" t="s">
        <v>239</v>
      </c>
      <c r="AD6" t="s">
        <v>240</v>
      </c>
      <c r="AE6" t="s">
        <v>241</v>
      </c>
      <c r="AF6" t="s">
        <v>242</v>
      </c>
      <c r="AG6" t="s">
        <v>243</v>
      </c>
      <c r="AH6" t="s">
        <v>244</v>
      </c>
      <c r="AI6" t="s">
        <v>245</v>
      </c>
      <c r="AJ6" t="s">
        <v>246</v>
      </c>
    </row>
    <row r="7" spans="2:36" hidden="1" x14ac:dyDescent="0.3">
      <c r="B7" s="3" t="s">
        <v>19</v>
      </c>
      <c r="C7" s="3" t="s">
        <v>14</v>
      </c>
      <c r="D7" s="3" t="s">
        <v>20</v>
      </c>
      <c r="E7" s="3" t="s">
        <v>12</v>
      </c>
      <c r="F7" s="12">
        <v>35622</v>
      </c>
      <c r="G7" s="3">
        <v>93</v>
      </c>
      <c r="H7" s="3">
        <v>84</v>
      </c>
      <c r="I7" s="3">
        <v>177</v>
      </c>
      <c r="J7" s="3">
        <v>88.5</v>
      </c>
      <c r="K7" t="s">
        <v>221</v>
      </c>
      <c r="L7" t="s">
        <v>222</v>
      </c>
      <c r="M7" t="s">
        <v>223</v>
      </c>
      <c r="N7" t="s">
        <v>224</v>
      </c>
      <c r="O7" t="s">
        <v>225</v>
      </c>
      <c r="P7" t="s">
        <v>226</v>
      </c>
      <c r="Q7" t="s">
        <v>227</v>
      </c>
      <c r="R7" t="s">
        <v>228</v>
      </c>
      <c r="S7" t="s">
        <v>229</v>
      </c>
      <c r="T7" t="s">
        <v>230</v>
      </c>
      <c r="U7" t="s">
        <v>231</v>
      </c>
      <c r="V7" t="s">
        <v>232</v>
      </c>
      <c r="W7" t="s">
        <v>233</v>
      </c>
      <c r="X7" t="s">
        <v>234</v>
      </c>
      <c r="Y7" t="s">
        <v>235</v>
      </c>
      <c r="Z7" t="s">
        <v>236</v>
      </c>
      <c r="AA7" t="s">
        <v>237</v>
      </c>
      <c r="AB7" t="s">
        <v>238</v>
      </c>
      <c r="AC7" t="s">
        <v>239</v>
      </c>
      <c r="AD7" t="s">
        <v>240</v>
      </c>
      <c r="AE7" t="s">
        <v>241</v>
      </c>
      <c r="AF7" t="s">
        <v>242</v>
      </c>
      <c r="AG7" t="s">
        <v>243</v>
      </c>
      <c r="AH7" t="s">
        <v>244</v>
      </c>
      <c r="AI7" t="s">
        <v>245</v>
      </c>
      <c r="AJ7" t="s">
        <v>246</v>
      </c>
    </row>
    <row r="8" spans="2:36" hidden="1" x14ac:dyDescent="0.3">
      <c r="B8" s="3" t="s">
        <v>21</v>
      </c>
      <c r="C8" s="3" t="s">
        <v>22</v>
      </c>
      <c r="D8" s="3" t="s">
        <v>23</v>
      </c>
      <c r="E8" s="3" t="s">
        <v>12</v>
      </c>
      <c r="F8" s="12">
        <v>39708</v>
      </c>
      <c r="G8" s="3">
        <v>77</v>
      </c>
      <c r="H8" s="3">
        <v>70</v>
      </c>
      <c r="I8" s="3">
        <v>147</v>
      </c>
      <c r="J8" s="3">
        <v>73.5</v>
      </c>
      <c r="K8" t="s">
        <v>221</v>
      </c>
      <c r="L8" t="s">
        <v>222</v>
      </c>
      <c r="M8" t="s">
        <v>223</v>
      </c>
      <c r="N8" t="s">
        <v>224</v>
      </c>
      <c r="O8" t="s">
        <v>225</v>
      </c>
      <c r="P8" t="s">
        <v>226</v>
      </c>
      <c r="Q8" t="s">
        <v>227</v>
      </c>
      <c r="R8" t="s">
        <v>228</v>
      </c>
      <c r="S8" t="s">
        <v>229</v>
      </c>
      <c r="T8" t="s">
        <v>230</v>
      </c>
      <c r="U8" t="s">
        <v>231</v>
      </c>
      <c r="V8" t="s">
        <v>232</v>
      </c>
      <c r="W8" t="s">
        <v>233</v>
      </c>
      <c r="X8" t="s">
        <v>234</v>
      </c>
      <c r="Y8" t="s">
        <v>235</v>
      </c>
      <c r="Z8" t="s">
        <v>236</v>
      </c>
      <c r="AA8" t="s">
        <v>237</v>
      </c>
      <c r="AB8" t="s">
        <v>238</v>
      </c>
      <c r="AC8" t="s">
        <v>239</v>
      </c>
      <c r="AD8" t="s">
        <v>240</v>
      </c>
      <c r="AE8" t="s">
        <v>241</v>
      </c>
      <c r="AF8" t="s">
        <v>242</v>
      </c>
      <c r="AG8" t="s">
        <v>243</v>
      </c>
      <c r="AH8" t="s">
        <v>244</v>
      </c>
      <c r="AI8" t="s">
        <v>245</v>
      </c>
      <c r="AJ8" t="s">
        <v>246</v>
      </c>
    </row>
    <row r="9" spans="2:36" hidden="1" x14ac:dyDescent="0.3">
      <c r="B9" s="3" t="s">
        <v>24</v>
      </c>
      <c r="C9" s="3" t="s">
        <v>25</v>
      </c>
      <c r="D9" s="3" t="s">
        <v>11</v>
      </c>
      <c r="E9" s="3" t="s">
        <v>12</v>
      </c>
      <c r="F9" s="12">
        <v>42332</v>
      </c>
      <c r="G9" s="3">
        <v>82</v>
      </c>
      <c r="H9" s="3">
        <v>70</v>
      </c>
      <c r="I9" s="3">
        <v>152</v>
      </c>
      <c r="J9" s="3">
        <v>76</v>
      </c>
      <c r="K9" t="s">
        <v>221</v>
      </c>
      <c r="L9" t="s">
        <v>222</v>
      </c>
      <c r="M9" t="s">
        <v>223</v>
      </c>
      <c r="N9" t="s">
        <v>224</v>
      </c>
      <c r="O9" t="s">
        <v>225</v>
      </c>
      <c r="P9" t="s">
        <v>226</v>
      </c>
      <c r="Q9" t="s">
        <v>227</v>
      </c>
      <c r="R9" t="s">
        <v>228</v>
      </c>
      <c r="S9" t="s">
        <v>229</v>
      </c>
      <c r="T9" t="s">
        <v>230</v>
      </c>
      <c r="U9" t="s">
        <v>231</v>
      </c>
      <c r="V9" t="s">
        <v>232</v>
      </c>
      <c r="W9" t="s">
        <v>233</v>
      </c>
      <c r="X9" t="s">
        <v>234</v>
      </c>
      <c r="Y9" t="s">
        <v>235</v>
      </c>
      <c r="Z9" t="s">
        <v>236</v>
      </c>
      <c r="AA9" t="s">
        <v>237</v>
      </c>
      <c r="AB9" t="s">
        <v>238</v>
      </c>
      <c r="AC9" t="s">
        <v>239</v>
      </c>
      <c r="AD9" t="s">
        <v>240</v>
      </c>
      <c r="AE9" t="s">
        <v>241</v>
      </c>
      <c r="AF9" t="s">
        <v>242</v>
      </c>
      <c r="AG9" t="s">
        <v>243</v>
      </c>
      <c r="AH9" t="s">
        <v>244</v>
      </c>
      <c r="AI9" t="s">
        <v>245</v>
      </c>
      <c r="AJ9" t="s">
        <v>246</v>
      </c>
    </row>
    <row r="10" spans="2:36" hidden="1" x14ac:dyDescent="0.3">
      <c r="B10" s="3" t="s">
        <v>26</v>
      </c>
      <c r="C10" s="3" t="s">
        <v>27</v>
      </c>
      <c r="D10" s="3" t="s">
        <v>11</v>
      </c>
      <c r="E10" s="3" t="s">
        <v>15</v>
      </c>
      <c r="F10" s="12">
        <v>42009</v>
      </c>
      <c r="G10" s="3">
        <v>87</v>
      </c>
      <c r="H10" s="3">
        <v>65</v>
      </c>
      <c r="I10" s="3">
        <v>152</v>
      </c>
      <c r="J10" s="3">
        <v>76</v>
      </c>
      <c r="K10" t="s">
        <v>221</v>
      </c>
      <c r="L10" t="s">
        <v>222</v>
      </c>
      <c r="M10" t="s">
        <v>223</v>
      </c>
      <c r="N10" t="s">
        <v>224</v>
      </c>
      <c r="O10" t="s">
        <v>225</v>
      </c>
      <c r="P10" t="s">
        <v>226</v>
      </c>
      <c r="Q10" t="s">
        <v>227</v>
      </c>
      <c r="R10" t="s">
        <v>228</v>
      </c>
      <c r="S10" t="s">
        <v>229</v>
      </c>
      <c r="T10" t="s">
        <v>230</v>
      </c>
      <c r="U10" t="s">
        <v>231</v>
      </c>
      <c r="V10" t="s">
        <v>232</v>
      </c>
      <c r="W10" t="s">
        <v>233</v>
      </c>
      <c r="X10" t="s">
        <v>234</v>
      </c>
      <c r="Y10" t="s">
        <v>235</v>
      </c>
      <c r="Z10" t="s">
        <v>236</v>
      </c>
      <c r="AA10" t="s">
        <v>237</v>
      </c>
      <c r="AB10" t="s">
        <v>238</v>
      </c>
      <c r="AC10" t="s">
        <v>239</v>
      </c>
      <c r="AD10" t="s">
        <v>240</v>
      </c>
      <c r="AE10" t="s">
        <v>241</v>
      </c>
      <c r="AF10" t="s">
        <v>242</v>
      </c>
      <c r="AG10" t="s">
        <v>243</v>
      </c>
      <c r="AH10" t="s">
        <v>244</v>
      </c>
      <c r="AI10" t="s">
        <v>245</v>
      </c>
      <c r="AJ10" t="s">
        <v>246</v>
      </c>
    </row>
    <row r="11" spans="2:36" hidden="1" x14ac:dyDescent="0.3">
      <c r="B11" s="3" t="s">
        <v>28</v>
      </c>
      <c r="C11" s="3" t="s">
        <v>29</v>
      </c>
      <c r="D11" s="3" t="s">
        <v>20</v>
      </c>
      <c r="E11" s="3" t="s">
        <v>12</v>
      </c>
      <c r="F11" s="12">
        <v>35270</v>
      </c>
      <c r="G11" s="3">
        <v>100</v>
      </c>
      <c r="H11" s="3">
        <v>79</v>
      </c>
      <c r="I11" s="3">
        <v>179</v>
      </c>
      <c r="J11" s="3">
        <v>89.5</v>
      </c>
      <c r="K11" t="s">
        <v>221</v>
      </c>
      <c r="L11" t="s">
        <v>222</v>
      </c>
      <c r="M11" t="s">
        <v>223</v>
      </c>
      <c r="N11" t="s">
        <v>224</v>
      </c>
      <c r="O11" t="s">
        <v>225</v>
      </c>
      <c r="P11" t="s">
        <v>226</v>
      </c>
      <c r="Q11" t="s">
        <v>227</v>
      </c>
      <c r="R11" t="s">
        <v>228</v>
      </c>
      <c r="S11" t="s">
        <v>229</v>
      </c>
      <c r="T11" t="s">
        <v>230</v>
      </c>
      <c r="U11" t="s">
        <v>231</v>
      </c>
      <c r="V11" t="s">
        <v>232</v>
      </c>
      <c r="W11" t="s">
        <v>233</v>
      </c>
      <c r="X11" t="s">
        <v>234</v>
      </c>
      <c r="Y11" t="s">
        <v>235</v>
      </c>
      <c r="Z11" t="s">
        <v>236</v>
      </c>
      <c r="AA11" t="s">
        <v>237</v>
      </c>
      <c r="AB11" t="s">
        <v>238</v>
      </c>
      <c r="AC11" t="s">
        <v>239</v>
      </c>
      <c r="AD11" t="s">
        <v>240</v>
      </c>
      <c r="AE11" t="s">
        <v>241</v>
      </c>
      <c r="AF11" t="s">
        <v>242</v>
      </c>
      <c r="AG11" t="s">
        <v>243</v>
      </c>
      <c r="AH11" t="s">
        <v>244</v>
      </c>
      <c r="AI11" t="s">
        <v>245</v>
      </c>
      <c r="AJ11" t="s">
        <v>246</v>
      </c>
    </row>
    <row r="12" spans="2:36" hidden="1" x14ac:dyDescent="0.3">
      <c r="B12" s="3" t="s">
        <v>30</v>
      </c>
      <c r="C12" s="3" t="s">
        <v>25</v>
      </c>
      <c r="D12" s="3" t="s">
        <v>31</v>
      </c>
      <c r="E12" s="3" t="s">
        <v>15</v>
      </c>
      <c r="F12" s="12">
        <v>37421</v>
      </c>
      <c r="G12" s="3">
        <v>78</v>
      </c>
      <c r="H12" s="3">
        <v>84</v>
      </c>
      <c r="I12" s="3">
        <v>162</v>
      </c>
      <c r="J12" s="3">
        <v>81</v>
      </c>
      <c r="K12" t="s">
        <v>221</v>
      </c>
      <c r="L12" t="s">
        <v>222</v>
      </c>
      <c r="M12" t="s">
        <v>223</v>
      </c>
      <c r="N12" t="s">
        <v>224</v>
      </c>
      <c r="O12" t="s">
        <v>225</v>
      </c>
      <c r="P12" t="s">
        <v>226</v>
      </c>
      <c r="Q12" t="s">
        <v>227</v>
      </c>
      <c r="R12" t="s">
        <v>228</v>
      </c>
      <c r="S12" t="s">
        <v>229</v>
      </c>
      <c r="T12" t="s">
        <v>230</v>
      </c>
      <c r="U12" t="s">
        <v>231</v>
      </c>
      <c r="V12" t="s">
        <v>232</v>
      </c>
      <c r="W12" t="s">
        <v>233</v>
      </c>
      <c r="X12" t="s">
        <v>234</v>
      </c>
      <c r="Y12" t="s">
        <v>235</v>
      </c>
      <c r="Z12" t="s">
        <v>236</v>
      </c>
      <c r="AA12" t="s">
        <v>237</v>
      </c>
      <c r="AB12" t="s">
        <v>238</v>
      </c>
      <c r="AC12" t="s">
        <v>239</v>
      </c>
      <c r="AD12" t="s">
        <v>240</v>
      </c>
      <c r="AE12" t="s">
        <v>241</v>
      </c>
      <c r="AF12" t="s">
        <v>242</v>
      </c>
      <c r="AG12" t="s">
        <v>243</v>
      </c>
      <c r="AH12" t="s">
        <v>244</v>
      </c>
      <c r="AI12" t="s">
        <v>245</v>
      </c>
      <c r="AJ12" t="s">
        <v>246</v>
      </c>
    </row>
    <row r="13" spans="2:36" hidden="1" x14ac:dyDescent="0.3">
      <c r="B13" s="3" t="s">
        <v>32</v>
      </c>
      <c r="C13" s="3" t="s">
        <v>25</v>
      </c>
      <c r="D13" s="3" t="s">
        <v>11</v>
      </c>
      <c r="E13" s="3" t="s">
        <v>15</v>
      </c>
      <c r="F13" s="12">
        <v>40703</v>
      </c>
      <c r="G13" s="3">
        <v>71</v>
      </c>
      <c r="H13" s="3">
        <v>92</v>
      </c>
      <c r="I13" s="3">
        <v>163</v>
      </c>
      <c r="J13" s="3">
        <v>81.5</v>
      </c>
      <c r="K13" t="s">
        <v>221</v>
      </c>
      <c r="L13" t="s">
        <v>222</v>
      </c>
      <c r="M13" t="s">
        <v>223</v>
      </c>
      <c r="N13" t="s">
        <v>224</v>
      </c>
      <c r="O13" t="s">
        <v>225</v>
      </c>
      <c r="P13" t="s">
        <v>226</v>
      </c>
      <c r="Q13" t="s">
        <v>227</v>
      </c>
      <c r="R13" t="s">
        <v>228</v>
      </c>
      <c r="S13" t="s">
        <v>229</v>
      </c>
      <c r="T13" t="s">
        <v>230</v>
      </c>
      <c r="U13" t="s">
        <v>231</v>
      </c>
      <c r="V13" t="s">
        <v>232</v>
      </c>
      <c r="W13" t="s">
        <v>233</v>
      </c>
      <c r="X13" t="s">
        <v>234</v>
      </c>
      <c r="Y13" t="s">
        <v>235</v>
      </c>
      <c r="Z13" t="s">
        <v>236</v>
      </c>
      <c r="AA13" t="s">
        <v>237</v>
      </c>
      <c r="AB13" t="s">
        <v>238</v>
      </c>
      <c r="AC13" t="s">
        <v>239</v>
      </c>
      <c r="AD13" t="s">
        <v>240</v>
      </c>
      <c r="AE13" t="s">
        <v>241</v>
      </c>
      <c r="AF13" t="s">
        <v>242</v>
      </c>
      <c r="AG13" t="s">
        <v>243</v>
      </c>
      <c r="AH13" t="s">
        <v>244</v>
      </c>
      <c r="AI13" t="s">
        <v>245</v>
      </c>
      <c r="AJ13" t="s">
        <v>246</v>
      </c>
    </row>
    <row r="14" spans="2:36" x14ac:dyDescent="0.3">
      <c r="B14" s="3" t="s">
        <v>33</v>
      </c>
      <c r="C14" s="3" t="s">
        <v>10</v>
      </c>
      <c r="D14" s="3" t="s">
        <v>20</v>
      </c>
      <c r="E14" s="3" t="s">
        <v>15</v>
      </c>
      <c r="F14" s="12">
        <v>35786</v>
      </c>
      <c r="G14" s="3">
        <v>66</v>
      </c>
      <c r="H14" s="3">
        <v>91</v>
      </c>
      <c r="I14" s="3">
        <v>157</v>
      </c>
      <c r="J14" s="3">
        <v>78.5</v>
      </c>
      <c r="K14" t="s">
        <v>221</v>
      </c>
      <c r="L14" t="s">
        <v>222</v>
      </c>
      <c r="M14" t="s">
        <v>223</v>
      </c>
      <c r="N14" t="s">
        <v>224</v>
      </c>
      <c r="O14" t="s">
        <v>225</v>
      </c>
      <c r="P14" t="s">
        <v>226</v>
      </c>
      <c r="Q14" t="s">
        <v>227</v>
      </c>
      <c r="R14" t="s">
        <v>228</v>
      </c>
      <c r="S14" t="s">
        <v>229</v>
      </c>
      <c r="T14" t="s">
        <v>230</v>
      </c>
      <c r="U14" t="s">
        <v>231</v>
      </c>
      <c r="V14" t="s">
        <v>232</v>
      </c>
      <c r="W14" t="s">
        <v>233</v>
      </c>
      <c r="X14" t="s">
        <v>234</v>
      </c>
      <c r="Y14" t="s">
        <v>235</v>
      </c>
      <c r="Z14" t="s">
        <v>236</v>
      </c>
      <c r="AA14" t="s">
        <v>237</v>
      </c>
      <c r="AB14" t="s">
        <v>238</v>
      </c>
      <c r="AC14" t="s">
        <v>239</v>
      </c>
      <c r="AD14" t="s">
        <v>240</v>
      </c>
      <c r="AE14" t="s">
        <v>241</v>
      </c>
      <c r="AF14" t="s">
        <v>242</v>
      </c>
      <c r="AG14" t="s">
        <v>243</v>
      </c>
      <c r="AH14" t="s">
        <v>244</v>
      </c>
      <c r="AI14" t="s">
        <v>245</v>
      </c>
      <c r="AJ14" t="s">
        <v>246</v>
      </c>
    </row>
    <row r="15" spans="2:36" hidden="1" x14ac:dyDescent="0.3">
      <c r="B15" s="3" t="s">
        <v>34</v>
      </c>
      <c r="C15" s="3" t="s">
        <v>25</v>
      </c>
      <c r="D15" s="3" t="s">
        <v>35</v>
      </c>
      <c r="E15" s="3" t="s">
        <v>12</v>
      </c>
      <c r="F15" s="12">
        <v>37421</v>
      </c>
      <c r="G15" s="3">
        <v>78</v>
      </c>
      <c r="H15" s="3">
        <v>97</v>
      </c>
      <c r="I15" s="3">
        <v>175</v>
      </c>
      <c r="J15" s="3">
        <v>87.5</v>
      </c>
      <c r="K15" t="s">
        <v>221</v>
      </c>
      <c r="L15" t="s">
        <v>222</v>
      </c>
      <c r="M15" t="s">
        <v>223</v>
      </c>
      <c r="N15" t="s">
        <v>224</v>
      </c>
      <c r="O15" t="s">
        <v>225</v>
      </c>
      <c r="P15" t="s">
        <v>226</v>
      </c>
      <c r="Q15" t="s">
        <v>227</v>
      </c>
      <c r="R15" t="s">
        <v>228</v>
      </c>
      <c r="S15" t="s">
        <v>229</v>
      </c>
      <c r="T15" t="s">
        <v>230</v>
      </c>
      <c r="U15" t="s">
        <v>231</v>
      </c>
      <c r="V15" t="s">
        <v>232</v>
      </c>
      <c r="W15" t="s">
        <v>233</v>
      </c>
      <c r="X15" t="s">
        <v>234</v>
      </c>
      <c r="Y15" t="s">
        <v>235</v>
      </c>
      <c r="Z15" t="s">
        <v>236</v>
      </c>
      <c r="AA15" t="s">
        <v>237</v>
      </c>
      <c r="AB15" t="s">
        <v>238</v>
      </c>
      <c r="AC15" t="s">
        <v>239</v>
      </c>
      <c r="AD15" t="s">
        <v>240</v>
      </c>
      <c r="AE15" t="s">
        <v>241</v>
      </c>
      <c r="AF15" t="s">
        <v>242</v>
      </c>
      <c r="AG15" t="s">
        <v>243</v>
      </c>
      <c r="AH15" t="s">
        <v>244</v>
      </c>
      <c r="AI15" t="s">
        <v>245</v>
      </c>
      <c r="AJ15" t="s">
        <v>246</v>
      </c>
    </row>
    <row r="16" spans="2:36" hidden="1" x14ac:dyDescent="0.3">
      <c r="B16" s="3" t="s">
        <v>36</v>
      </c>
      <c r="C16" s="3" t="s">
        <v>22</v>
      </c>
      <c r="D16" s="3" t="s">
        <v>35</v>
      </c>
      <c r="E16" s="3" t="s">
        <v>15</v>
      </c>
      <c r="F16" s="12">
        <v>38810</v>
      </c>
      <c r="G16" s="3">
        <v>74</v>
      </c>
      <c r="H16" s="3">
        <v>63</v>
      </c>
      <c r="I16" s="3">
        <v>137</v>
      </c>
      <c r="J16" s="3">
        <v>68.5</v>
      </c>
      <c r="K16" t="s">
        <v>221</v>
      </c>
      <c r="L16" t="s">
        <v>222</v>
      </c>
      <c r="M16" t="s">
        <v>223</v>
      </c>
      <c r="N16" t="s">
        <v>224</v>
      </c>
      <c r="O16" t="s">
        <v>225</v>
      </c>
      <c r="P16" t="s">
        <v>226</v>
      </c>
      <c r="Q16" t="s">
        <v>227</v>
      </c>
      <c r="R16" t="s">
        <v>228</v>
      </c>
      <c r="S16" t="s">
        <v>229</v>
      </c>
      <c r="T16" t="s">
        <v>230</v>
      </c>
      <c r="U16" t="s">
        <v>231</v>
      </c>
      <c r="V16" t="s">
        <v>232</v>
      </c>
      <c r="W16" t="s">
        <v>233</v>
      </c>
      <c r="X16" t="s">
        <v>234</v>
      </c>
      <c r="Y16" t="s">
        <v>235</v>
      </c>
      <c r="Z16" t="s">
        <v>236</v>
      </c>
      <c r="AA16" t="s">
        <v>237</v>
      </c>
      <c r="AB16" t="s">
        <v>238</v>
      </c>
      <c r="AC16" t="s">
        <v>239</v>
      </c>
      <c r="AD16" t="s">
        <v>240</v>
      </c>
      <c r="AE16" t="s">
        <v>241</v>
      </c>
      <c r="AF16" t="s">
        <v>242</v>
      </c>
      <c r="AG16" t="s">
        <v>243</v>
      </c>
      <c r="AH16" t="s">
        <v>244</v>
      </c>
      <c r="AI16" t="s">
        <v>245</v>
      </c>
      <c r="AJ16" t="s">
        <v>246</v>
      </c>
    </row>
    <row r="17" spans="2:36" hidden="1" x14ac:dyDescent="0.3">
      <c r="B17" s="3" t="s">
        <v>37</v>
      </c>
      <c r="C17" s="3" t="s">
        <v>38</v>
      </c>
      <c r="D17" s="3" t="s">
        <v>20</v>
      </c>
      <c r="E17" s="3" t="s">
        <v>15</v>
      </c>
      <c r="F17" s="12">
        <v>35997</v>
      </c>
      <c r="G17" s="3">
        <v>80</v>
      </c>
      <c r="H17" s="3">
        <v>74</v>
      </c>
      <c r="I17" s="3">
        <v>154</v>
      </c>
      <c r="J17" s="3">
        <v>77</v>
      </c>
      <c r="K17" t="s">
        <v>221</v>
      </c>
      <c r="L17" t="s">
        <v>222</v>
      </c>
      <c r="M17" t="s">
        <v>223</v>
      </c>
      <c r="N17" t="s">
        <v>224</v>
      </c>
      <c r="O17" t="s">
        <v>225</v>
      </c>
      <c r="P17" t="s">
        <v>226</v>
      </c>
      <c r="Q17" t="s">
        <v>227</v>
      </c>
      <c r="R17" t="s">
        <v>228</v>
      </c>
      <c r="S17" t="s">
        <v>229</v>
      </c>
      <c r="T17" t="s">
        <v>230</v>
      </c>
      <c r="U17" t="s">
        <v>231</v>
      </c>
      <c r="V17" t="s">
        <v>232</v>
      </c>
      <c r="W17" t="s">
        <v>233</v>
      </c>
      <c r="X17" t="s">
        <v>234</v>
      </c>
      <c r="Y17" t="s">
        <v>235</v>
      </c>
      <c r="Z17" t="s">
        <v>236</v>
      </c>
      <c r="AA17" t="s">
        <v>237</v>
      </c>
      <c r="AB17" t="s">
        <v>238</v>
      </c>
      <c r="AC17" t="s">
        <v>239</v>
      </c>
      <c r="AD17" t="s">
        <v>240</v>
      </c>
      <c r="AE17" t="s">
        <v>241</v>
      </c>
      <c r="AF17" t="s">
        <v>242</v>
      </c>
      <c r="AG17" t="s">
        <v>243</v>
      </c>
      <c r="AH17" t="s">
        <v>244</v>
      </c>
      <c r="AI17" t="s">
        <v>245</v>
      </c>
      <c r="AJ17" t="s">
        <v>246</v>
      </c>
    </row>
    <row r="18" spans="2:36" hidden="1" x14ac:dyDescent="0.3">
      <c r="B18" s="3" t="s">
        <v>39</v>
      </c>
      <c r="C18" s="3" t="s">
        <v>25</v>
      </c>
      <c r="D18" s="3" t="s">
        <v>31</v>
      </c>
      <c r="E18" s="3" t="s">
        <v>12</v>
      </c>
      <c r="F18" s="12">
        <v>36313</v>
      </c>
      <c r="G18" s="3">
        <v>89</v>
      </c>
      <c r="H18" s="3">
        <v>65</v>
      </c>
      <c r="I18" s="3">
        <v>154</v>
      </c>
      <c r="J18" s="3">
        <v>77</v>
      </c>
      <c r="K18" t="s">
        <v>221</v>
      </c>
      <c r="L18" t="s">
        <v>222</v>
      </c>
      <c r="M18" t="s">
        <v>223</v>
      </c>
      <c r="N18" t="s">
        <v>224</v>
      </c>
      <c r="O18" t="s">
        <v>225</v>
      </c>
      <c r="P18" t="s">
        <v>226</v>
      </c>
      <c r="Q18" t="s">
        <v>227</v>
      </c>
      <c r="R18" t="s">
        <v>228</v>
      </c>
      <c r="S18" t="s">
        <v>229</v>
      </c>
      <c r="T18" t="s">
        <v>230</v>
      </c>
      <c r="U18" t="s">
        <v>231</v>
      </c>
      <c r="V18" t="s">
        <v>232</v>
      </c>
      <c r="W18" t="s">
        <v>233</v>
      </c>
      <c r="X18" t="s">
        <v>234</v>
      </c>
      <c r="Y18" t="s">
        <v>235</v>
      </c>
      <c r="Z18" t="s">
        <v>236</v>
      </c>
      <c r="AA18" t="s">
        <v>237</v>
      </c>
      <c r="AB18" t="s">
        <v>238</v>
      </c>
      <c r="AC18" t="s">
        <v>239</v>
      </c>
      <c r="AD18" t="s">
        <v>240</v>
      </c>
      <c r="AE18" t="s">
        <v>241</v>
      </c>
      <c r="AF18" t="s">
        <v>242</v>
      </c>
      <c r="AG18" t="s">
        <v>243</v>
      </c>
      <c r="AH18" t="s">
        <v>244</v>
      </c>
      <c r="AI18" t="s">
        <v>245</v>
      </c>
      <c r="AJ18" t="s">
        <v>246</v>
      </c>
    </row>
    <row r="19" spans="2:36" x14ac:dyDescent="0.3">
      <c r="B19" s="3" t="s">
        <v>40</v>
      </c>
      <c r="C19" s="3" t="s">
        <v>10</v>
      </c>
      <c r="D19" s="3" t="s">
        <v>11</v>
      </c>
      <c r="E19" s="3" t="s">
        <v>15</v>
      </c>
      <c r="F19" s="12">
        <v>40869</v>
      </c>
      <c r="G19" s="3">
        <v>67</v>
      </c>
      <c r="H19" s="3">
        <v>67</v>
      </c>
      <c r="I19" s="3">
        <v>134</v>
      </c>
      <c r="J19" s="3">
        <v>67</v>
      </c>
      <c r="K19" t="s">
        <v>221</v>
      </c>
      <c r="L19" t="s">
        <v>222</v>
      </c>
      <c r="M19" t="s">
        <v>223</v>
      </c>
      <c r="N19" t="s">
        <v>224</v>
      </c>
      <c r="O19" t="s">
        <v>225</v>
      </c>
      <c r="P19" t="s">
        <v>226</v>
      </c>
      <c r="Q19" t="s">
        <v>227</v>
      </c>
      <c r="R19" t="s">
        <v>228</v>
      </c>
      <c r="S19" t="s">
        <v>229</v>
      </c>
      <c r="T19" t="s">
        <v>230</v>
      </c>
      <c r="U19" t="s">
        <v>231</v>
      </c>
      <c r="V19" t="s">
        <v>232</v>
      </c>
      <c r="W19" t="s">
        <v>233</v>
      </c>
      <c r="X19" t="s">
        <v>234</v>
      </c>
      <c r="Y19" t="s">
        <v>235</v>
      </c>
      <c r="Z19" t="s">
        <v>236</v>
      </c>
      <c r="AA19" t="s">
        <v>237</v>
      </c>
      <c r="AB19" t="s">
        <v>238</v>
      </c>
      <c r="AC19" t="s">
        <v>239</v>
      </c>
      <c r="AD19" t="s">
        <v>240</v>
      </c>
      <c r="AE19" t="s">
        <v>241</v>
      </c>
      <c r="AF19" t="s">
        <v>242</v>
      </c>
      <c r="AG19" t="s">
        <v>243</v>
      </c>
      <c r="AH19" t="s">
        <v>244</v>
      </c>
      <c r="AI19" t="s">
        <v>245</v>
      </c>
      <c r="AJ19" t="s">
        <v>246</v>
      </c>
    </row>
    <row r="20" spans="2:36" hidden="1" x14ac:dyDescent="0.3">
      <c r="B20" s="3" t="s">
        <v>41</v>
      </c>
      <c r="C20" s="3" t="s">
        <v>38</v>
      </c>
      <c r="D20" s="3" t="s">
        <v>35</v>
      </c>
      <c r="E20" s="3" t="s">
        <v>15</v>
      </c>
      <c r="F20" s="12">
        <v>37523</v>
      </c>
      <c r="G20" s="3">
        <v>70</v>
      </c>
      <c r="H20" s="3">
        <v>90</v>
      </c>
      <c r="I20" s="3">
        <v>160</v>
      </c>
      <c r="J20" s="3">
        <v>80</v>
      </c>
      <c r="K20" t="s">
        <v>221</v>
      </c>
      <c r="L20" t="s">
        <v>222</v>
      </c>
      <c r="M20" t="s">
        <v>223</v>
      </c>
      <c r="N20" t="s">
        <v>224</v>
      </c>
      <c r="O20" t="s">
        <v>225</v>
      </c>
      <c r="P20" t="s">
        <v>226</v>
      </c>
      <c r="Q20" t="s">
        <v>227</v>
      </c>
      <c r="R20" t="s">
        <v>228</v>
      </c>
      <c r="S20" t="s">
        <v>229</v>
      </c>
      <c r="T20" t="s">
        <v>230</v>
      </c>
      <c r="U20" t="s">
        <v>231</v>
      </c>
      <c r="V20" t="s">
        <v>232</v>
      </c>
      <c r="W20" t="s">
        <v>233</v>
      </c>
      <c r="X20" t="s">
        <v>234</v>
      </c>
      <c r="Y20" t="s">
        <v>235</v>
      </c>
      <c r="Z20" t="s">
        <v>236</v>
      </c>
      <c r="AA20" t="s">
        <v>237</v>
      </c>
      <c r="AB20" t="s">
        <v>238</v>
      </c>
      <c r="AC20" t="s">
        <v>239</v>
      </c>
      <c r="AD20" t="s">
        <v>240</v>
      </c>
      <c r="AE20" t="s">
        <v>241</v>
      </c>
      <c r="AF20" t="s">
        <v>242</v>
      </c>
      <c r="AG20" t="s">
        <v>243</v>
      </c>
      <c r="AH20" t="s">
        <v>244</v>
      </c>
      <c r="AI20" t="s">
        <v>245</v>
      </c>
      <c r="AJ20" t="s">
        <v>246</v>
      </c>
    </row>
    <row r="21" spans="2:36" hidden="1" x14ac:dyDescent="0.3">
      <c r="B21" s="3" t="s">
        <v>42</v>
      </c>
      <c r="C21" s="3" t="s">
        <v>17</v>
      </c>
      <c r="D21" s="3" t="s">
        <v>20</v>
      </c>
      <c r="E21" s="3" t="s">
        <v>12</v>
      </c>
      <c r="F21" s="12">
        <v>35083</v>
      </c>
      <c r="G21" s="3">
        <v>73</v>
      </c>
      <c r="H21" s="3">
        <v>72</v>
      </c>
      <c r="I21" s="3">
        <v>145</v>
      </c>
      <c r="J21" s="3">
        <v>72.5</v>
      </c>
      <c r="K21" t="s">
        <v>221</v>
      </c>
      <c r="L21" t="s">
        <v>222</v>
      </c>
      <c r="M21" t="s">
        <v>223</v>
      </c>
      <c r="N21" t="s">
        <v>224</v>
      </c>
      <c r="O21" t="s">
        <v>225</v>
      </c>
      <c r="P21" t="s">
        <v>226</v>
      </c>
      <c r="Q21" t="s">
        <v>227</v>
      </c>
      <c r="R21" t="s">
        <v>228</v>
      </c>
      <c r="S21" t="s">
        <v>229</v>
      </c>
      <c r="T21" t="s">
        <v>230</v>
      </c>
      <c r="U21" t="s">
        <v>231</v>
      </c>
      <c r="V21" t="s">
        <v>232</v>
      </c>
      <c r="W21" t="s">
        <v>233</v>
      </c>
      <c r="X21" t="s">
        <v>234</v>
      </c>
      <c r="Y21" t="s">
        <v>235</v>
      </c>
      <c r="Z21" t="s">
        <v>236</v>
      </c>
      <c r="AA21" t="s">
        <v>237</v>
      </c>
      <c r="AB21" t="s">
        <v>238</v>
      </c>
      <c r="AC21" t="s">
        <v>239</v>
      </c>
      <c r="AD21" t="s">
        <v>240</v>
      </c>
      <c r="AE21" t="s">
        <v>241</v>
      </c>
      <c r="AF21" t="s">
        <v>242</v>
      </c>
      <c r="AG21" t="s">
        <v>243</v>
      </c>
      <c r="AH21" t="s">
        <v>244</v>
      </c>
      <c r="AI21" t="s">
        <v>245</v>
      </c>
      <c r="AJ21" t="s">
        <v>246</v>
      </c>
    </row>
    <row r="22" spans="2:36" x14ac:dyDescent="0.3">
      <c r="B22" s="3" t="s">
        <v>43</v>
      </c>
      <c r="C22" s="3" t="s">
        <v>10</v>
      </c>
      <c r="D22" s="3" t="s">
        <v>31</v>
      </c>
      <c r="E22" s="3" t="s">
        <v>12</v>
      </c>
      <c r="F22" s="12">
        <v>35613</v>
      </c>
      <c r="G22" s="3">
        <v>72</v>
      </c>
      <c r="H22" s="3">
        <v>91</v>
      </c>
      <c r="I22" s="3">
        <v>163</v>
      </c>
      <c r="J22" s="3">
        <v>81.5</v>
      </c>
      <c r="K22" t="s">
        <v>221</v>
      </c>
      <c r="L22" t="s">
        <v>222</v>
      </c>
      <c r="M22" t="s">
        <v>223</v>
      </c>
      <c r="N22" t="s">
        <v>224</v>
      </c>
      <c r="O22" t="s">
        <v>225</v>
      </c>
      <c r="P22" t="s">
        <v>226</v>
      </c>
      <c r="Q22" t="s">
        <v>227</v>
      </c>
      <c r="R22" t="s">
        <v>228</v>
      </c>
      <c r="S22" t="s">
        <v>229</v>
      </c>
      <c r="T22" t="s">
        <v>230</v>
      </c>
      <c r="U22" t="s">
        <v>231</v>
      </c>
      <c r="V22" t="s">
        <v>232</v>
      </c>
      <c r="W22" t="s">
        <v>233</v>
      </c>
      <c r="X22" t="s">
        <v>234</v>
      </c>
      <c r="Y22" t="s">
        <v>235</v>
      </c>
      <c r="Z22" t="s">
        <v>236</v>
      </c>
      <c r="AA22" t="s">
        <v>237</v>
      </c>
      <c r="AB22" t="s">
        <v>238</v>
      </c>
      <c r="AC22" t="s">
        <v>239</v>
      </c>
      <c r="AD22" t="s">
        <v>240</v>
      </c>
      <c r="AE22" t="s">
        <v>241</v>
      </c>
      <c r="AF22" t="s">
        <v>242</v>
      </c>
      <c r="AG22" t="s">
        <v>243</v>
      </c>
      <c r="AH22" t="s">
        <v>244</v>
      </c>
      <c r="AI22" t="s">
        <v>245</v>
      </c>
      <c r="AJ22" t="s">
        <v>246</v>
      </c>
    </row>
    <row r="23" spans="2:36" hidden="1" x14ac:dyDescent="0.3">
      <c r="B23" s="3" t="s">
        <v>44</v>
      </c>
      <c r="C23" s="3" t="s">
        <v>29</v>
      </c>
      <c r="D23" s="3" t="s">
        <v>31</v>
      </c>
      <c r="E23" s="3" t="s">
        <v>12</v>
      </c>
      <c r="F23" s="12">
        <v>36993</v>
      </c>
      <c r="G23" s="3">
        <v>83</v>
      </c>
      <c r="H23" s="3">
        <v>93</v>
      </c>
      <c r="I23" s="3">
        <v>176</v>
      </c>
      <c r="J23" s="3">
        <v>88</v>
      </c>
      <c r="K23" t="s">
        <v>221</v>
      </c>
      <c r="L23" t="s">
        <v>222</v>
      </c>
      <c r="M23" t="s">
        <v>223</v>
      </c>
      <c r="N23" t="s">
        <v>224</v>
      </c>
      <c r="O23" t="s">
        <v>225</v>
      </c>
      <c r="P23" t="s">
        <v>226</v>
      </c>
      <c r="Q23" t="s">
        <v>227</v>
      </c>
      <c r="R23" t="s">
        <v>228</v>
      </c>
      <c r="S23" t="s">
        <v>229</v>
      </c>
      <c r="T23" t="s">
        <v>230</v>
      </c>
      <c r="U23" t="s">
        <v>231</v>
      </c>
      <c r="V23" t="s">
        <v>232</v>
      </c>
      <c r="W23" t="s">
        <v>233</v>
      </c>
      <c r="X23" t="s">
        <v>234</v>
      </c>
      <c r="Y23" t="s">
        <v>235</v>
      </c>
      <c r="Z23" t="s">
        <v>236</v>
      </c>
      <c r="AA23" t="s">
        <v>237</v>
      </c>
      <c r="AB23" t="s">
        <v>238</v>
      </c>
      <c r="AC23" t="s">
        <v>239</v>
      </c>
      <c r="AD23" t="s">
        <v>240</v>
      </c>
      <c r="AE23" t="s">
        <v>241</v>
      </c>
      <c r="AF23" t="s">
        <v>242</v>
      </c>
      <c r="AG23" t="s">
        <v>243</v>
      </c>
      <c r="AH23" t="s">
        <v>244</v>
      </c>
      <c r="AI23" t="s">
        <v>245</v>
      </c>
      <c r="AJ23" t="s">
        <v>246</v>
      </c>
    </row>
    <row r="24" spans="2:36" hidden="1" x14ac:dyDescent="0.3">
      <c r="B24" s="3" t="s">
        <v>45</v>
      </c>
      <c r="C24" s="3" t="s">
        <v>22</v>
      </c>
      <c r="D24" s="3" t="s">
        <v>11</v>
      </c>
      <c r="E24" s="3" t="s">
        <v>12</v>
      </c>
      <c r="F24" s="12">
        <v>41312</v>
      </c>
      <c r="G24" s="3">
        <v>92</v>
      </c>
      <c r="H24" s="3">
        <v>99</v>
      </c>
      <c r="I24" s="3">
        <v>191</v>
      </c>
      <c r="J24" s="3">
        <v>95.5</v>
      </c>
      <c r="K24" t="s">
        <v>221</v>
      </c>
      <c r="L24" t="s">
        <v>222</v>
      </c>
      <c r="M24" t="s">
        <v>223</v>
      </c>
      <c r="N24" t="s">
        <v>224</v>
      </c>
      <c r="O24" t="s">
        <v>225</v>
      </c>
      <c r="P24" t="s">
        <v>226</v>
      </c>
      <c r="Q24" t="s">
        <v>227</v>
      </c>
      <c r="R24" t="s">
        <v>228</v>
      </c>
      <c r="S24" t="s">
        <v>229</v>
      </c>
      <c r="T24" t="s">
        <v>230</v>
      </c>
      <c r="U24" t="s">
        <v>231</v>
      </c>
      <c r="V24" t="s">
        <v>232</v>
      </c>
      <c r="W24" t="s">
        <v>233</v>
      </c>
      <c r="X24" t="s">
        <v>234</v>
      </c>
      <c r="Y24" t="s">
        <v>235</v>
      </c>
      <c r="Z24" t="s">
        <v>236</v>
      </c>
      <c r="AA24" t="s">
        <v>237</v>
      </c>
      <c r="AB24" t="s">
        <v>238</v>
      </c>
      <c r="AC24" t="s">
        <v>239</v>
      </c>
      <c r="AD24" t="s">
        <v>240</v>
      </c>
      <c r="AE24" t="s">
        <v>241</v>
      </c>
      <c r="AF24" t="s">
        <v>242</v>
      </c>
      <c r="AG24" t="s">
        <v>243</v>
      </c>
      <c r="AH24" t="s">
        <v>244</v>
      </c>
      <c r="AI24" t="s">
        <v>245</v>
      </c>
      <c r="AJ24" t="s">
        <v>246</v>
      </c>
    </row>
    <row r="25" spans="2:36" hidden="1" x14ac:dyDescent="0.3">
      <c r="B25" s="3" t="s">
        <v>46</v>
      </c>
      <c r="C25" s="3" t="s">
        <v>38</v>
      </c>
      <c r="D25" s="3" t="s">
        <v>11</v>
      </c>
      <c r="E25" s="3" t="s">
        <v>15</v>
      </c>
      <c r="F25" s="12">
        <v>41278</v>
      </c>
      <c r="G25" s="3">
        <v>91</v>
      </c>
      <c r="H25" s="3">
        <v>60</v>
      </c>
      <c r="I25" s="3">
        <v>151</v>
      </c>
      <c r="J25" s="3">
        <v>75.5</v>
      </c>
      <c r="K25" t="s">
        <v>221</v>
      </c>
      <c r="L25" t="s">
        <v>222</v>
      </c>
      <c r="M25" t="s">
        <v>223</v>
      </c>
      <c r="N25" t="s">
        <v>224</v>
      </c>
      <c r="O25" t="s">
        <v>225</v>
      </c>
      <c r="P25" t="s">
        <v>226</v>
      </c>
      <c r="Q25" t="s">
        <v>227</v>
      </c>
      <c r="R25" t="s">
        <v>228</v>
      </c>
      <c r="S25" t="s">
        <v>229</v>
      </c>
      <c r="T25" t="s">
        <v>230</v>
      </c>
      <c r="U25" t="s">
        <v>231</v>
      </c>
      <c r="V25" t="s">
        <v>232</v>
      </c>
      <c r="W25" t="s">
        <v>233</v>
      </c>
      <c r="X25" t="s">
        <v>234</v>
      </c>
      <c r="Y25" t="s">
        <v>235</v>
      </c>
      <c r="Z25" t="s">
        <v>236</v>
      </c>
      <c r="AA25" t="s">
        <v>237</v>
      </c>
      <c r="AB25" t="s">
        <v>238</v>
      </c>
      <c r="AC25" t="s">
        <v>239</v>
      </c>
      <c r="AD25" t="s">
        <v>240</v>
      </c>
      <c r="AE25" t="s">
        <v>241</v>
      </c>
      <c r="AF25" t="s">
        <v>242</v>
      </c>
      <c r="AG25" t="s">
        <v>243</v>
      </c>
      <c r="AH25" t="s">
        <v>244</v>
      </c>
      <c r="AI25" t="s">
        <v>245</v>
      </c>
      <c r="AJ25" t="s">
        <v>246</v>
      </c>
    </row>
    <row r="26" spans="2:36" hidden="1" x14ac:dyDescent="0.3">
      <c r="B26" s="3" t="s">
        <v>47</v>
      </c>
      <c r="C26" s="3" t="s">
        <v>27</v>
      </c>
      <c r="D26" s="3" t="s">
        <v>23</v>
      </c>
      <c r="E26" s="3" t="s">
        <v>15</v>
      </c>
      <c r="F26" s="12">
        <v>40816</v>
      </c>
      <c r="G26" s="3">
        <v>69</v>
      </c>
      <c r="H26" s="3">
        <v>86</v>
      </c>
      <c r="I26" s="3">
        <v>155</v>
      </c>
      <c r="J26" s="3">
        <v>77.5</v>
      </c>
      <c r="K26" t="s">
        <v>221</v>
      </c>
      <c r="L26" t="s">
        <v>222</v>
      </c>
      <c r="M26" t="s">
        <v>223</v>
      </c>
      <c r="N26" t="s">
        <v>224</v>
      </c>
      <c r="O26" t="s">
        <v>225</v>
      </c>
      <c r="P26" t="s">
        <v>226</v>
      </c>
      <c r="Q26" t="s">
        <v>227</v>
      </c>
      <c r="R26" t="s">
        <v>228</v>
      </c>
      <c r="S26" t="s">
        <v>229</v>
      </c>
      <c r="T26" t="s">
        <v>230</v>
      </c>
      <c r="U26" t="s">
        <v>231</v>
      </c>
      <c r="V26" t="s">
        <v>232</v>
      </c>
      <c r="W26" t="s">
        <v>233</v>
      </c>
      <c r="X26" t="s">
        <v>234</v>
      </c>
      <c r="Y26" t="s">
        <v>235</v>
      </c>
      <c r="Z26" t="s">
        <v>236</v>
      </c>
      <c r="AA26" t="s">
        <v>237</v>
      </c>
      <c r="AB26" t="s">
        <v>238</v>
      </c>
      <c r="AC26" t="s">
        <v>239</v>
      </c>
      <c r="AD26" t="s">
        <v>240</v>
      </c>
      <c r="AE26" t="s">
        <v>241</v>
      </c>
      <c r="AF26" t="s">
        <v>242</v>
      </c>
      <c r="AG26" t="s">
        <v>243</v>
      </c>
      <c r="AH26" t="s">
        <v>244</v>
      </c>
      <c r="AI26" t="s">
        <v>245</v>
      </c>
      <c r="AJ26" t="s">
        <v>246</v>
      </c>
    </row>
    <row r="27" spans="2:36" hidden="1" x14ac:dyDescent="0.3">
      <c r="B27" s="3" t="s">
        <v>48</v>
      </c>
      <c r="C27" s="3" t="s">
        <v>14</v>
      </c>
      <c r="D27" s="3" t="s">
        <v>35</v>
      </c>
      <c r="E27" s="3" t="s">
        <v>12</v>
      </c>
      <c r="F27" s="12">
        <v>38980</v>
      </c>
      <c r="G27" s="3">
        <v>87</v>
      </c>
      <c r="H27" s="3">
        <v>92</v>
      </c>
      <c r="I27" s="3">
        <v>179</v>
      </c>
      <c r="J27" s="3">
        <v>89.5</v>
      </c>
      <c r="K27" t="s">
        <v>221</v>
      </c>
      <c r="L27" t="s">
        <v>222</v>
      </c>
      <c r="M27" t="s">
        <v>223</v>
      </c>
      <c r="N27" t="s">
        <v>224</v>
      </c>
      <c r="O27" t="s">
        <v>225</v>
      </c>
      <c r="P27" t="s">
        <v>226</v>
      </c>
      <c r="Q27" t="s">
        <v>227</v>
      </c>
      <c r="R27" t="s">
        <v>228</v>
      </c>
      <c r="S27" t="s">
        <v>229</v>
      </c>
      <c r="T27" t="s">
        <v>230</v>
      </c>
      <c r="U27" t="s">
        <v>231</v>
      </c>
      <c r="V27" t="s">
        <v>232</v>
      </c>
      <c r="W27" t="s">
        <v>233</v>
      </c>
      <c r="X27" t="s">
        <v>234</v>
      </c>
      <c r="Y27" t="s">
        <v>235</v>
      </c>
      <c r="Z27" t="s">
        <v>236</v>
      </c>
      <c r="AA27" t="s">
        <v>237</v>
      </c>
      <c r="AB27" t="s">
        <v>238</v>
      </c>
      <c r="AC27" t="s">
        <v>239</v>
      </c>
      <c r="AD27" t="s">
        <v>240</v>
      </c>
      <c r="AE27" t="s">
        <v>241</v>
      </c>
      <c r="AF27" t="s">
        <v>242</v>
      </c>
      <c r="AG27" t="s">
        <v>243</v>
      </c>
      <c r="AH27" t="s">
        <v>244</v>
      </c>
      <c r="AI27" t="s">
        <v>245</v>
      </c>
      <c r="AJ27" t="s">
        <v>246</v>
      </c>
    </row>
    <row r="28" spans="2:36" hidden="1" x14ac:dyDescent="0.3">
      <c r="B28" s="3" t="s">
        <v>49</v>
      </c>
      <c r="C28" s="3" t="s">
        <v>22</v>
      </c>
      <c r="D28" s="3" t="s">
        <v>31</v>
      </c>
      <c r="E28" s="3" t="s">
        <v>15</v>
      </c>
      <c r="F28" s="12">
        <v>37049</v>
      </c>
      <c r="G28" s="3">
        <v>92</v>
      </c>
      <c r="H28" s="3">
        <v>91</v>
      </c>
      <c r="I28" s="3">
        <v>183</v>
      </c>
      <c r="J28" s="3">
        <v>91.5</v>
      </c>
      <c r="K28" t="s">
        <v>221</v>
      </c>
      <c r="L28" t="s">
        <v>222</v>
      </c>
      <c r="M28" t="s">
        <v>223</v>
      </c>
      <c r="N28" t="s">
        <v>224</v>
      </c>
      <c r="O28" t="s">
        <v>225</v>
      </c>
      <c r="P28" t="s">
        <v>226</v>
      </c>
      <c r="Q28" t="s">
        <v>227</v>
      </c>
      <c r="R28" t="s">
        <v>228</v>
      </c>
      <c r="S28" t="s">
        <v>229</v>
      </c>
      <c r="T28" t="s">
        <v>230</v>
      </c>
      <c r="U28" t="s">
        <v>231</v>
      </c>
      <c r="V28" t="s">
        <v>232</v>
      </c>
      <c r="W28" t="s">
        <v>233</v>
      </c>
      <c r="X28" t="s">
        <v>234</v>
      </c>
      <c r="Y28" t="s">
        <v>235</v>
      </c>
      <c r="Z28" t="s">
        <v>236</v>
      </c>
      <c r="AA28" t="s">
        <v>237</v>
      </c>
      <c r="AB28" t="s">
        <v>238</v>
      </c>
      <c r="AC28" t="s">
        <v>239</v>
      </c>
      <c r="AD28" t="s">
        <v>240</v>
      </c>
      <c r="AE28" t="s">
        <v>241</v>
      </c>
      <c r="AF28" t="s">
        <v>242</v>
      </c>
      <c r="AG28" t="s">
        <v>243</v>
      </c>
      <c r="AH28" t="s">
        <v>244</v>
      </c>
      <c r="AI28" t="s">
        <v>245</v>
      </c>
      <c r="AJ28" t="s">
        <v>246</v>
      </c>
    </row>
    <row r="29" spans="2:36" hidden="1" x14ac:dyDescent="0.3">
      <c r="B29" s="3" t="s">
        <v>50</v>
      </c>
      <c r="C29" s="3" t="s">
        <v>22</v>
      </c>
      <c r="D29" s="3" t="s">
        <v>11</v>
      </c>
      <c r="E29" s="3" t="s">
        <v>12</v>
      </c>
      <c r="F29" s="12">
        <v>41568</v>
      </c>
      <c r="G29" s="3">
        <v>78</v>
      </c>
      <c r="H29" s="3">
        <v>78</v>
      </c>
      <c r="I29" s="3">
        <v>156</v>
      </c>
      <c r="J29" s="3">
        <v>78</v>
      </c>
      <c r="K29" t="s">
        <v>221</v>
      </c>
      <c r="L29" t="s">
        <v>222</v>
      </c>
      <c r="M29" t="s">
        <v>223</v>
      </c>
      <c r="N29" t="s">
        <v>224</v>
      </c>
      <c r="O29" t="s">
        <v>225</v>
      </c>
      <c r="P29" t="s">
        <v>226</v>
      </c>
      <c r="Q29" t="s">
        <v>227</v>
      </c>
      <c r="R29" t="s">
        <v>228</v>
      </c>
      <c r="S29" t="s">
        <v>229</v>
      </c>
      <c r="T29" t="s">
        <v>230</v>
      </c>
      <c r="U29" t="s">
        <v>231</v>
      </c>
      <c r="V29" t="s">
        <v>232</v>
      </c>
      <c r="W29" t="s">
        <v>233</v>
      </c>
      <c r="X29" t="s">
        <v>234</v>
      </c>
      <c r="Y29" t="s">
        <v>235</v>
      </c>
      <c r="Z29" t="s">
        <v>236</v>
      </c>
      <c r="AA29" t="s">
        <v>237</v>
      </c>
      <c r="AB29" t="s">
        <v>238</v>
      </c>
      <c r="AC29" t="s">
        <v>239</v>
      </c>
      <c r="AD29" t="s">
        <v>240</v>
      </c>
      <c r="AE29" t="s">
        <v>241</v>
      </c>
      <c r="AF29" t="s">
        <v>242</v>
      </c>
      <c r="AG29" t="s">
        <v>243</v>
      </c>
      <c r="AH29" t="s">
        <v>244</v>
      </c>
      <c r="AI29" t="s">
        <v>245</v>
      </c>
      <c r="AJ29" t="s">
        <v>246</v>
      </c>
    </row>
    <row r="30" spans="2:36" hidden="1" x14ac:dyDescent="0.3">
      <c r="B30" s="3" t="s">
        <v>51</v>
      </c>
      <c r="C30" s="3" t="s">
        <v>22</v>
      </c>
      <c r="D30" s="3" t="s">
        <v>35</v>
      </c>
      <c r="E30" s="3" t="s">
        <v>12</v>
      </c>
      <c r="F30" s="12">
        <v>37418</v>
      </c>
      <c r="G30" s="3">
        <v>81</v>
      </c>
      <c r="H30" s="3">
        <v>78</v>
      </c>
      <c r="I30" s="3">
        <v>159</v>
      </c>
      <c r="J30" s="3">
        <v>79.5</v>
      </c>
      <c r="K30" t="s">
        <v>221</v>
      </c>
      <c r="L30" t="s">
        <v>222</v>
      </c>
      <c r="M30" t="s">
        <v>223</v>
      </c>
      <c r="N30" t="s">
        <v>224</v>
      </c>
      <c r="O30" t="s">
        <v>225</v>
      </c>
      <c r="P30" t="s">
        <v>226</v>
      </c>
      <c r="Q30" t="s">
        <v>227</v>
      </c>
      <c r="R30" t="s">
        <v>228</v>
      </c>
      <c r="S30" t="s">
        <v>229</v>
      </c>
      <c r="T30" t="s">
        <v>230</v>
      </c>
      <c r="U30" t="s">
        <v>231</v>
      </c>
      <c r="V30" t="s">
        <v>232</v>
      </c>
      <c r="W30" t="s">
        <v>233</v>
      </c>
      <c r="X30" t="s">
        <v>234</v>
      </c>
      <c r="Y30" t="s">
        <v>235</v>
      </c>
      <c r="Z30" t="s">
        <v>236</v>
      </c>
      <c r="AA30" t="s">
        <v>237</v>
      </c>
      <c r="AB30" t="s">
        <v>238</v>
      </c>
      <c r="AC30" t="s">
        <v>239</v>
      </c>
      <c r="AD30" t="s">
        <v>240</v>
      </c>
      <c r="AE30" t="s">
        <v>241</v>
      </c>
      <c r="AF30" t="s">
        <v>242</v>
      </c>
      <c r="AG30" t="s">
        <v>243</v>
      </c>
      <c r="AH30" t="s">
        <v>244</v>
      </c>
      <c r="AI30" t="s">
        <v>245</v>
      </c>
      <c r="AJ30" t="s">
        <v>246</v>
      </c>
    </row>
    <row r="31" spans="2:36" hidden="1" x14ac:dyDescent="0.3">
      <c r="B31" s="3" t="s">
        <v>52</v>
      </c>
      <c r="C31" s="3" t="s">
        <v>53</v>
      </c>
      <c r="D31" s="3" t="s">
        <v>20</v>
      </c>
      <c r="E31" s="3" t="s">
        <v>15</v>
      </c>
      <c r="F31" s="12">
        <v>35235</v>
      </c>
      <c r="G31" s="3">
        <v>88</v>
      </c>
      <c r="H31" s="3">
        <v>92</v>
      </c>
      <c r="I31" s="3">
        <v>180</v>
      </c>
      <c r="J31" s="3">
        <v>90</v>
      </c>
      <c r="K31" t="s">
        <v>221</v>
      </c>
      <c r="L31" t="s">
        <v>222</v>
      </c>
      <c r="M31" t="s">
        <v>223</v>
      </c>
      <c r="N31" t="s">
        <v>224</v>
      </c>
      <c r="O31" t="s">
        <v>225</v>
      </c>
      <c r="P31" t="s">
        <v>226</v>
      </c>
      <c r="Q31" t="s">
        <v>227</v>
      </c>
      <c r="R31" t="s">
        <v>228</v>
      </c>
      <c r="S31" t="s">
        <v>229</v>
      </c>
      <c r="T31" t="s">
        <v>230</v>
      </c>
      <c r="U31" t="s">
        <v>231</v>
      </c>
      <c r="V31" t="s">
        <v>232</v>
      </c>
      <c r="W31" t="s">
        <v>233</v>
      </c>
      <c r="X31" t="s">
        <v>234</v>
      </c>
      <c r="Y31" t="s">
        <v>235</v>
      </c>
      <c r="Z31" t="s">
        <v>236</v>
      </c>
      <c r="AA31" t="s">
        <v>237</v>
      </c>
      <c r="AB31" t="s">
        <v>238</v>
      </c>
      <c r="AC31" t="s">
        <v>239</v>
      </c>
      <c r="AD31" t="s">
        <v>240</v>
      </c>
      <c r="AE31" t="s">
        <v>241</v>
      </c>
      <c r="AF31" t="s">
        <v>242</v>
      </c>
      <c r="AG31" t="s">
        <v>243</v>
      </c>
      <c r="AH31" t="s">
        <v>244</v>
      </c>
      <c r="AI31" t="s">
        <v>245</v>
      </c>
      <c r="AJ31" t="s">
        <v>246</v>
      </c>
    </row>
    <row r="32" spans="2:36" hidden="1" x14ac:dyDescent="0.3">
      <c r="B32" s="3" t="s">
        <v>54</v>
      </c>
      <c r="C32" s="3" t="s">
        <v>27</v>
      </c>
      <c r="D32" s="3" t="s">
        <v>35</v>
      </c>
      <c r="E32" s="3" t="s">
        <v>12</v>
      </c>
      <c r="F32" s="12">
        <v>38672</v>
      </c>
      <c r="G32" s="3">
        <v>75</v>
      </c>
      <c r="H32" s="3">
        <v>70</v>
      </c>
      <c r="I32" s="3">
        <v>145</v>
      </c>
      <c r="J32" s="3">
        <v>72.5</v>
      </c>
      <c r="K32" t="s">
        <v>221</v>
      </c>
      <c r="L32" t="s">
        <v>222</v>
      </c>
      <c r="M32" t="s">
        <v>223</v>
      </c>
      <c r="N32" t="s">
        <v>224</v>
      </c>
      <c r="O32" t="s">
        <v>225</v>
      </c>
      <c r="P32" t="s">
        <v>226</v>
      </c>
      <c r="Q32" t="s">
        <v>227</v>
      </c>
      <c r="R32" t="s">
        <v>228</v>
      </c>
      <c r="S32" t="s">
        <v>229</v>
      </c>
      <c r="T32" t="s">
        <v>230</v>
      </c>
      <c r="U32" t="s">
        <v>231</v>
      </c>
      <c r="V32" t="s">
        <v>232</v>
      </c>
      <c r="W32" t="s">
        <v>233</v>
      </c>
      <c r="X32" t="s">
        <v>234</v>
      </c>
      <c r="Y32" t="s">
        <v>235</v>
      </c>
      <c r="Z32" t="s">
        <v>236</v>
      </c>
      <c r="AA32" t="s">
        <v>237</v>
      </c>
      <c r="AB32" t="s">
        <v>238</v>
      </c>
      <c r="AC32" t="s">
        <v>239</v>
      </c>
      <c r="AD32" t="s">
        <v>240</v>
      </c>
      <c r="AE32" t="s">
        <v>241</v>
      </c>
      <c r="AF32" t="s">
        <v>242</v>
      </c>
      <c r="AG32" t="s">
        <v>243</v>
      </c>
      <c r="AH32" t="s">
        <v>244</v>
      </c>
      <c r="AI32" t="s">
        <v>245</v>
      </c>
      <c r="AJ32" t="s">
        <v>246</v>
      </c>
    </row>
    <row r="33" spans="2:36" hidden="1" x14ac:dyDescent="0.3">
      <c r="B33" s="3" t="s">
        <v>55</v>
      </c>
      <c r="C33" s="3" t="s">
        <v>17</v>
      </c>
      <c r="D33" s="3" t="s">
        <v>23</v>
      </c>
      <c r="E33" s="3" t="s">
        <v>12</v>
      </c>
      <c r="F33" s="12">
        <v>40826</v>
      </c>
      <c r="G33" s="3">
        <v>94</v>
      </c>
      <c r="H33" s="3">
        <v>84</v>
      </c>
      <c r="I33" s="3">
        <v>178</v>
      </c>
      <c r="J33" s="3">
        <v>89</v>
      </c>
      <c r="K33" t="s">
        <v>221</v>
      </c>
      <c r="L33" t="s">
        <v>222</v>
      </c>
      <c r="M33" t="s">
        <v>223</v>
      </c>
      <c r="N33" t="s">
        <v>224</v>
      </c>
      <c r="O33" t="s">
        <v>225</v>
      </c>
      <c r="P33" t="s">
        <v>226</v>
      </c>
      <c r="Q33" t="s">
        <v>227</v>
      </c>
      <c r="R33" t="s">
        <v>228</v>
      </c>
      <c r="S33" t="s">
        <v>229</v>
      </c>
      <c r="T33" t="s">
        <v>230</v>
      </c>
      <c r="U33" t="s">
        <v>231</v>
      </c>
      <c r="V33" t="s">
        <v>232</v>
      </c>
      <c r="W33" t="s">
        <v>233</v>
      </c>
      <c r="X33" t="s">
        <v>234</v>
      </c>
      <c r="Y33" t="s">
        <v>235</v>
      </c>
      <c r="Z33" t="s">
        <v>236</v>
      </c>
      <c r="AA33" t="s">
        <v>237</v>
      </c>
      <c r="AB33" t="s">
        <v>238</v>
      </c>
      <c r="AC33" t="s">
        <v>239</v>
      </c>
      <c r="AD33" t="s">
        <v>240</v>
      </c>
      <c r="AE33" t="s">
        <v>241</v>
      </c>
      <c r="AF33" t="s">
        <v>242</v>
      </c>
      <c r="AG33" t="s">
        <v>243</v>
      </c>
      <c r="AH33" t="s">
        <v>244</v>
      </c>
      <c r="AI33" t="s">
        <v>245</v>
      </c>
      <c r="AJ33" t="s">
        <v>246</v>
      </c>
    </row>
    <row r="34" spans="2:36" hidden="1" x14ac:dyDescent="0.3">
      <c r="B34" s="3" t="s">
        <v>56</v>
      </c>
      <c r="C34" s="3" t="s">
        <v>17</v>
      </c>
      <c r="D34" s="3" t="s">
        <v>35</v>
      </c>
      <c r="E34" s="3" t="s">
        <v>15</v>
      </c>
      <c r="F34" s="12">
        <v>38758</v>
      </c>
      <c r="G34" s="3">
        <v>67</v>
      </c>
      <c r="H34" s="3">
        <v>74</v>
      </c>
      <c r="I34" s="3">
        <v>141</v>
      </c>
      <c r="J34" s="3">
        <v>70.5</v>
      </c>
      <c r="K34" t="s">
        <v>221</v>
      </c>
      <c r="L34" t="s">
        <v>222</v>
      </c>
      <c r="M34" t="s">
        <v>223</v>
      </c>
      <c r="N34" t="s">
        <v>224</v>
      </c>
      <c r="O34" t="s">
        <v>225</v>
      </c>
      <c r="P34" t="s">
        <v>226</v>
      </c>
      <c r="Q34" t="s">
        <v>227</v>
      </c>
      <c r="R34" t="s">
        <v>228</v>
      </c>
      <c r="S34" t="s">
        <v>229</v>
      </c>
      <c r="T34" t="s">
        <v>230</v>
      </c>
      <c r="U34" t="s">
        <v>231</v>
      </c>
      <c r="V34" t="s">
        <v>232</v>
      </c>
      <c r="W34" t="s">
        <v>233</v>
      </c>
      <c r="X34" t="s">
        <v>234</v>
      </c>
      <c r="Y34" t="s">
        <v>235</v>
      </c>
      <c r="Z34" t="s">
        <v>236</v>
      </c>
      <c r="AA34" t="s">
        <v>237</v>
      </c>
      <c r="AB34" t="s">
        <v>238</v>
      </c>
      <c r="AC34" t="s">
        <v>239</v>
      </c>
      <c r="AD34" t="s">
        <v>240</v>
      </c>
      <c r="AE34" t="s">
        <v>241</v>
      </c>
      <c r="AF34" t="s">
        <v>242</v>
      </c>
      <c r="AG34" t="s">
        <v>243</v>
      </c>
      <c r="AH34" t="s">
        <v>244</v>
      </c>
      <c r="AI34" t="s">
        <v>245</v>
      </c>
      <c r="AJ34" t="s">
        <v>246</v>
      </c>
    </row>
    <row r="35" spans="2:36" hidden="1" x14ac:dyDescent="0.3">
      <c r="B35" s="3" t="s">
        <v>57</v>
      </c>
      <c r="C35" s="3" t="s">
        <v>27</v>
      </c>
      <c r="D35" s="3" t="s">
        <v>20</v>
      </c>
      <c r="E35" s="3" t="s">
        <v>12</v>
      </c>
      <c r="F35" s="12">
        <v>35257</v>
      </c>
      <c r="G35" s="3">
        <v>73</v>
      </c>
      <c r="H35" s="3">
        <v>99</v>
      </c>
      <c r="I35" s="3">
        <v>172</v>
      </c>
      <c r="J35" s="3">
        <v>86</v>
      </c>
      <c r="K35" t="s">
        <v>221</v>
      </c>
      <c r="L35" t="s">
        <v>222</v>
      </c>
      <c r="M35" t="s">
        <v>223</v>
      </c>
      <c r="N35" t="s">
        <v>224</v>
      </c>
      <c r="O35" t="s">
        <v>225</v>
      </c>
      <c r="P35" t="s">
        <v>226</v>
      </c>
      <c r="Q35" t="s">
        <v>227</v>
      </c>
      <c r="R35" t="s">
        <v>228</v>
      </c>
      <c r="S35" t="s">
        <v>229</v>
      </c>
      <c r="T35" t="s">
        <v>230</v>
      </c>
      <c r="U35" t="s">
        <v>231</v>
      </c>
      <c r="V35" t="s">
        <v>232</v>
      </c>
      <c r="W35" t="s">
        <v>233</v>
      </c>
      <c r="X35" t="s">
        <v>234</v>
      </c>
      <c r="Y35" t="s">
        <v>235</v>
      </c>
      <c r="Z35" t="s">
        <v>236</v>
      </c>
      <c r="AA35" t="s">
        <v>237</v>
      </c>
      <c r="AB35" t="s">
        <v>238</v>
      </c>
      <c r="AC35" t="s">
        <v>239</v>
      </c>
      <c r="AD35" t="s">
        <v>240</v>
      </c>
      <c r="AE35" t="s">
        <v>241</v>
      </c>
      <c r="AF35" t="s">
        <v>242</v>
      </c>
      <c r="AG35" t="s">
        <v>243</v>
      </c>
      <c r="AH35" t="s">
        <v>244</v>
      </c>
      <c r="AI35" t="s">
        <v>245</v>
      </c>
      <c r="AJ35" t="s">
        <v>246</v>
      </c>
    </row>
    <row r="36" spans="2:36" hidden="1" x14ac:dyDescent="0.3">
      <c r="B36" s="3" t="s">
        <v>58</v>
      </c>
      <c r="C36" s="3" t="s">
        <v>27</v>
      </c>
      <c r="D36" s="3" t="s">
        <v>23</v>
      </c>
      <c r="E36" s="3" t="s">
        <v>15</v>
      </c>
      <c r="F36" s="12">
        <v>39168</v>
      </c>
      <c r="G36" s="3">
        <v>87</v>
      </c>
      <c r="H36" s="3">
        <v>87</v>
      </c>
      <c r="I36" s="3">
        <v>174</v>
      </c>
      <c r="J36" s="3">
        <v>87</v>
      </c>
      <c r="K36" t="s">
        <v>221</v>
      </c>
      <c r="L36" t="s">
        <v>222</v>
      </c>
      <c r="M36" t="s">
        <v>223</v>
      </c>
      <c r="N36" t="s">
        <v>224</v>
      </c>
      <c r="O36" t="s">
        <v>225</v>
      </c>
      <c r="P36" t="s">
        <v>226</v>
      </c>
      <c r="Q36" t="s">
        <v>227</v>
      </c>
      <c r="R36" t="s">
        <v>228</v>
      </c>
      <c r="S36" t="s">
        <v>229</v>
      </c>
      <c r="T36" t="s">
        <v>230</v>
      </c>
      <c r="U36" t="s">
        <v>231</v>
      </c>
      <c r="V36" t="s">
        <v>232</v>
      </c>
      <c r="W36" t="s">
        <v>233</v>
      </c>
      <c r="X36" t="s">
        <v>234</v>
      </c>
      <c r="Y36" t="s">
        <v>235</v>
      </c>
      <c r="Z36" t="s">
        <v>236</v>
      </c>
      <c r="AA36" t="s">
        <v>237</v>
      </c>
      <c r="AB36" t="s">
        <v>238</v>
      </c>
      <c r="AC36" t="s">
        <v>239</v>
      </c>
      <c r="AD36" t="s">
        <v>240</v>
      </c>
      <c r="AE36" t="s">
        <v>241</v>
      </c>
      <c r="AF36" t="s">
        <v>242</v>
      </c>
      <c r="AG36" t="s">
        <v>243</v>
      </c>
      <c r="AH36" t="s">
        <v>244</v>
      </c>
      <c r="AI36" t="s">
        <v>245</v>
      </c>
      <c r="AJ36" t="s">
        <v>246</v>
      </c>
    </row>
    <row r="37" spans="2:36" hidden="1" x14ac:dyDescent="0.3">
      <c r="B37" s="3" t="s">
        <v>59</v>
      </c>
      <c r="C37" s="3" t="s">
        <v>25</v>
      </c>
      <c r="D37" s="3" t="s">
        <v>35</v>
      </c>
      <c r="E37" s="3" t="s">
        <v>12</v>
      </c>
      <c r="F37" s="12">
        <v>37335</v>
      </c>
      <c r="G37" s="3">
        <v>91</v>
      </c>
      <c r="H37" s="3">
        <v>77</v>
      </c>
      <c r="I37" s="3">
        <v>168</v>
      </c>
      <c r="J37" s="3">
        <v>84</v>
      </c>
      <c r="K37" t="s">
        <v>221</v>
      </c>
      <c r="L37" t="s">
        <v>222</v>
      </c>
      <c r="M37" t="s">
        <v>223</v>
      </c>
      <c r="N37" t="s">
        <v>224</v>
      </c>
      <c r="O37" t="s">
        <v>225</v>
      </c>
      <c r="P37" t="s">
        <v>226</v>
      </c>
      <c r="Q37" t="s">
        <v>227</v>
      </c>
      <c r="R37" t="s">
        <v>228</v>
      </c>
      <c r="S37" t="s">
        <v>229</v>
      </c>
      <c r="T37" t="s">
        <v>230</v>
      </c>
      <c r="U37" t="s">
        <v>231</v>
      </c>
      <c r="V37" t="s">
        <v>232</v>
      </c>
      <c r="W37" t="s">
        <v>233</v>
      </c>
      <c r="X37" t="s">
        <v>234</v>
      </c>
      <c r="Y37" t="s">
        <v>235</v>
      </c>
      <c r="Z37" t="s">
        <v>236</v>
      </c>
      <c r="AA37" t="s">
        <v>237</v>
      </c>
      <c r="AB37" t="s">
        <v>238</v>
      </c>
      <c r="AC37" t="s">
        <v>239</v>
      </c>
      <c r="AD37" t="s">
        <v>240</v>
      </c>
      <c r="AE37" t="s">
        <v>241</v>
      </c>
      <c r="AF37" t="s">
        <v>242</v>
      </c>
      <c r="AG37" t="s">
        <v>243</v>
      </c>
      <c r="AH37" t="s">
        <v>244</v>
      </c>
      <c r="AI37" t="s">
        <v>245</v>
      </c>
      <c r="AJ37" t="s">
        <v>246</v>
      </c>
    </row>
    <row r="38" spans="2:36" hidden="1" x14ac:dyDescent="0.3">
      <c r="B38" s="3" t="s">
        <v>60</v>
      </c>
      <c r="C38" s="3" t="s">
        <v>53</v>
      </c>
      <c r="D38" s="3" t="s">
        <v>11</v>
      </c>
      <c r="E38" s="3" t="s">
        <v>12</v>
      </c>
      <c r="F38" s="12">
        <v>40710</v>
      </c>
      <c r="G38" s="3">
        <v>66</v>
      </c>
      <c r="H38" s="3">
        <v>71</v>
      </c>
      <c r="I38" s="3">
        <v>137</v>
      </c>
      <c r="J38" s="3">
        <v>68.5</v>
      </c>
      <c r="K38" t="s">
        <v>221</v>
      </c>
      <c r="L38" t="s">
        <v>222</v>
      </c>
      <c r="M38" t="s">
        <v>223</v>
      </c>
      <c r="N38" t="s">
        <v>224</v>
      </c>
      <c r="O38" t="s">
        <v>225</v>
      </c>
      <c r="P38" t="s">
        <v>226</v>
      </c>
      <c r="Q38" t="s">
        <v>227</v>
      </c>
      <c r="R38" t="s">
        <v>228</v>
      </c>
      <c r="S38" t="s">
        <v>229</v>
      </c>
      <c r="T38" t="s">
        <v>230</v>
      </c>
      <c r="U38" t="s">
        <v>231</v>
      </c>
      <c r="V38" t="s">
        <v>232</v>
      </c>
      <c r="W38" t="s">
        <v>233</v>
      </c>
      <c r="X38" t="s">
        <v>234</v>
      </c>
      <c r="Y38" t="s">
        <v>235</v>
      </c>
      <c r="Z38" t="s">
        <v>236</v>
      </c>
      <c r="AA38" t="s">
        <v>237</v>
      </c>
      <c r="AB38" t="s">
        <v>238</v>
      </c>
      <c r="AC38" t="s">
        <v>239</v>
      </c>
      <c r="AD38" t="s">
        <v>240</v>
      </c>
      <c r="AE38" t="s">
        <v>241</v>
      </c>
      <c r="AF38" t="s">
        <v>242</v>
      </c>
      <c r="AG38" t="s">
        <v>243</v>
      </c>
      <c r="AH38" t="s">
        <v>244</v>
      </c>
      <c r="AI38" t="s">
        <v>245</v>
      </c>
      <c r="AJ38" t="s">
        <v>246</v>
      </c>
    </row>
    <row r="39" spans="2:36" hidden="1" x14ac:dyDescent="0.3">
      <c r="B39" s="3" t="s">
        <v>61</v>
      </c>
      <c r="C39" s="3" t="s">
        <v>38</v>
      </c>
      <c r="D39" s="3" t="s">
        <v>23</v>
      </c>
      <c r="E39" s="3" t="s">
        <v>15</v>
      </c>
      <c r="F39" s="12">
        <v>40788</v>
      </c>
      <c r="G39" s="3">
        <v>67</v>
      </c>
      <c r="H39" s="3">
        <v>60</v>
      </c>
      <c r="I39" s="3">
        <v>127</v>
      </c>
      <c r="J39" s="3">
        <v>63.5</v>
      </c>
      <c r="K39" t="s">
        <v>221</v>
      </c>
      <c r="L39" t="s">
        <v>222</v>
      </c>
      <c r="M39" t="s">
        <v>223</v>
      </c>
      <c r="N39" t="s">
        <v>224</v>
      </c>
      <c r="O39" t="s">
        <v>225</v>
      </c>
      <c r="P39" t="s">
        <v>226</v>
      </c>
      <c r="Q39" t="s">
        <v>227</v>
      </c>
      <c r="R39" t="s">
        <v>228</v>
      </c>
      <c r="S39" t="s">
        <v>229</v>
      </c>
      <c r="T39" t="s">
        <v>230</v>
      </c>
      <c r="U39" t="s">
        <v>231</v>
      </c>
      <c r="V39" t="s">
        <v>232</v>
      </c>
      <c r="W39" t="s">
        <v>233</v>
      </c>
      <c r="X39" t="s">
        <v>234</v>
      </c>
      <c r="Y39" t="s">
        <v>235</v>
      </c>
      <c r="Z39" t="s">
        <v>236</v>
      </c>
      <c r="AA39" t="s">
        <v>237</v>
      </c>
      <c r="AB39" t="s">
        <v>238</v>
      </c>
      <c r="AC39" t="s">
        <v>239</v>
      </c>
      <c r="AD39" t="s">
        <v>240</v>
      </c>
      <c r="AE39" t="s">
        <v>241</v>
      </c>
      <c r="AF39" t="s">
        <v>242</v>
      </c>
      <c r="AG39" t="s">
        <v>243</v>
      </c>
      <c r="AH39" t="s">
        <v>244</v>
      </c>
      <c r="AI39" t="s">
        <v>245</v>
      </c>
      <c r="AJ39" t="s">
        <v>246</v>
      </c>
    </row>
    <row r="40" spans="2:36" x14ac:dyDescent="0.3">
      <c r="B40" s="3" t="s">
        <v>62</v>
      </c>
      <c r="C40" s="3" t="s">
        <v>10</v>
      </c>
      <c r="D40" s="3" t="s">
        <v>35</v>
      </c>
      <c r="E40" s="3" t="s">
        <v>12</v>
      </c>
      <c r="F40" s="12">
        <v>38660</v>
      </c>
      <c r="G40" s="3">
        <v>88</v>
      </c>
      <c r="H40" s="3">
        <v>74</v>
      </c>
      <c r="I40" s="3">
        <v>162</v>
      </c>
      <c r="J40" s="3">
        <v>81</v>
      </c>
      <c r="K40" t="s">
        <v>221</v>
      </c>
      <c r="L40" t="s">
        <v>222</v>
      </c>
      <c r="M40" t="s">
        <v>223</v>
      </c>
      <c r="N40" t="s">
        <v>224</v>
      </c>
      <c r="O40" t="s">
        <v>225</v>
      </c>
      <c r="P40" t="s">
        <v>226</v>
      </c>
      <c r="Q40" t="s">
        <v>227</v>
      </c>
      <c r="R40" t="s">
        <v>228</v>
      </c>
      <c r="S40" t="s">
        <v>229</v>
      </c>
      <c r="T40" t="s">
        <v>230</v>
      </c>
      <c r="U40" t="s">
        <v>231</v>
      </c>
      <c r="V40" t="s">
        <v>232</v>
      </c>
      <c r="W40" t="s">
        <v>233</v>
      </c>
      <c r="X40" t="s">
        <v>234</v>
      </c>
      <c r="Y40" t="s">
        <v>235</v>
      </c>
      <c r="Z40" t="s">
        <v>236</v>
      </c>
      <c r="AA40" t="s">
        <v>237</v>
      </c>
      <c r="AB40" t="s">
        <v>238</v>
      </c>
      <c r="AC40" t="s">
        <v>239</v>
      </c>
      <c r="AD40" t="s">
        <v>240</v>
      </c>
      <c r="AE40" t="s">
        <v>241</v>
      </c>
      <c r="AF40" t="s">
        <v>242</v>
      </c>
      <c r="AG40" t="s">
        <v>243</v>
      </c>
      <c r="AH40" t="s">
        <v>244</v>
      </c>
      <c r="AI40" t="s">
        <v>245</v>
      </c>
      <c r="AJ40" t="s">
        <v>246</v>
      </c>
    </row>
    <row r="41" spans="2:36" hidden="1" x14ac:dyDescent="0.3">
      <c r="B41" s="3" t="s">
        <v>63</v>
      </c>
      <c r="C41" s="3" t="s">
        <v>27</v>
      </c>
      <c r="D41" s="3" t="s">
        <v>23</v>
      </c>
      <c r="E41" s="3" t="s">
        <v>12</v>
      </c>
      <c r="F41" s="12">
        <v>38891</v>
      </c>
      <c r="G41" s="3">
        <v>92</v>
      </c>
      <c r="H41" s="3">
        <v>94</v>
      </c>
      <c r="I41" s="3">
        <v>186</v>
      </c>
      <c r="J41" s="3">
        <v>93</v>
      </c>
      <c r="K41" t="s">
        <v>221</v>
      </c>
      <c r="L41" t="s">
        <v>222</v>
      </c>
      <c r="M41" t="s">
        <v>223</v>
      </c>
      <c r="N41" t="s">
        <v>224</v>
      </c>
      <c r="O41" t="s">
        <v>225</v>
      </c>
      <c r="P41" t="s">
        <v>226</v>
      </c>
      <c r="Q41" t="s">
        <v>227</v>
      </c>
      <c r="R41" t="s">
        <v>228</v>
      </c>
      <c r="S41" t="s">
        <v>229</v>
      </c>
      <c r="T41" t="s">
        <v>230</v>
      </c>
      <c r="U41" t="s">
        <v>231</v>
      </c>
      <c r="V41" t="s">
        <v>232</v>
      </c>
      <c r="W41" t="s">
        <v>233</v>
      </c>
      <c r="X41" t="s">
        <v>234</v>
      </c>
      <c r="Y41" t="s">
        <v>235</v>
      </c>
      <c r="Z41" t="s">
        <v>236</v>
      </c>
      <c r="AA41" t="s">
        <v>237</v>
      </c>
      <c r="AB41" t="s">
        <v>238</v>
      </c>
      <c r="AC41" t="s">
        <v>239</v>
      </c>
      <c r="AD41" t="s">
        <v>240</v>
      </c>
      <c r="AE41" t="s">
        <v>241</v>
      </c>
      <c r="AF41" t="s">
        <v>242</v>
      </c>
      <c r="AG41" t="s">
        <v>243</v>
      </c>
      <c r="AH41" t="s">
        <v>244</v>
      </c>
      <c r="AI41" t="s">
        <v>245</v>
      </c>
      <c r="AJ41" t="s">
        <v>246</v>
      </c>
    </row>
    <row r="42" spans="2:36" hidden="1" x14ac:dyDescent="0.3">
      <c r="B42" s="3" t="s">
        <v>64</v>
      </c>
      <c r="C42" s="3" t="s">
        <v>27</v>
      </c>
      <c r="D42" s="3" t="s">
        <v>31</v>
      </c>
      <c r="E42" s="3" t="s">
        <v>12</v>
      </c>
      <c r="F42" s="12">
        <v>36171</v>
      </c>
      <c r="G42" s="3">
        <v>84</v>
      </c>
      <c r="H42" s="3">
        <v>94</v>
      </c>
      <c r="I42" s="3">
        <v>178</v>
      </c>
      <c r="J42" s="3">
        <v>89</v>
      </c>
      <c r="K42" t="s">
        <v>221</v>
      </c>
      <c r="L42" t="s">
        <v>222</v>
      </c>
      <c r="M42" t="s">
        <v>223</v>
      </c>
      <c r="N42" t="s">
        <v>224</v>
      </c>
      <c r="O42" t="s">
        <v>225</v>
      </c>
      <c r="P42" t="s">
        <v>226</v>
      </c>
      <c r="Q42" t="s">
        <v>227</v>
      </c>
      <c r="R42" t="s">
        <v>228</v>
      </c>
      <c r="S42" t="s">
        <v>229</v>
      </c>
      <c r="T42" t="s">
        <v>230</v>
      </c>
      <c r="U42" t="s">
        <v>231</v>
      </c>
      <c r="V42" t="s">
        <v>232</v>
      </c>
      <c r="W42" t="s">
        <v>233</v>
      </c>
      <c r="X42" t="s">
        <v>234</v>
      </c>
      <c r="Y42" t="s">
        <v>235</v>
      </c>
      <c r="Z42" t="s">
        <v>236</v>
      </c>
      <c r="AA42" t="s">
        <v>237</v>
      </c>
      <c r="AB42" t="s">
        <v>238</v>
      </c>
      <c r="AC42" t="s">
        <v>239</v>
      </c>
      <c r="AD42" t="s">
        <v>240</v>
      </c>
      <c r="AE42" t="s">
        <v>241</v>
      </c>
      <c r="AF42" t="s">
        <v>242</v>
      </c>
      <c r="AG42" t="s">
        <v>243</v>
      </c>
      <c r="AH42" t="s">
        <v>244</v>
      </c>
      <c r="AI42" t="s">
        <v>245</v>
      </c>
      <c r="AJ42" t="s">
        <v>246</v>
      </c>
    </row>
    <row r="43" spans="2:36" hidden="1" x14ac:dyDescent="0.3">
      <c r="B43" s="3" t="s">
        <v>65</v>
      </c>
      <c r="C43" s="3" t="s">
        <v>14</v>
      </c>
      <c r="D43" s="3" t="s">
        <v>23</v>
      </c>
      <c r="E43" s="3" t="s">
        <v>12</v>
      </c>
      <c r="F43" s="12">
        <v>39157</v>
      </c>
      <c r="G43" s="3">
        <v>84</v>
      </c>
      <c r="H43" s="3">
        <v>62</v>
      </c>
      <c r="I43" s="3">
        <v>146</v>
      </c>
      <c r="J43" s="3">
        <v>73</v>
      </c>
      <c r="K43" t="s">
        <v>221</v>
      </c>
      <c r="L43" t="s">
        <v>222</v>
      </c>
      <c r="M43" t="s">
        <v>223</v>
      </c>
      <c r="N43" t="s">
        <v>224</v>
      </c>
      <c r="O43" t="s">
        <v>225</v>
      </c>
      <c r="P43" t="s">
        <v>226</v>
      </c>
      <c r="Q43" t="s">
        <v>227</v>
      </c>
      <c r="R43" t="s">
        <v>228</v>
      </c>
      <c r="S43" t="s">
        <v>229</v>
      </c>
      <c r="T43" t="s">
        <v>230</v>
      </c>
      <c r="U43" t="s">
        <v>231</v>
      </c>
      <c r="V43" t="s">
        <v>232</v>
      </c>
      <c r="W43" t="s">
        <v>233</v>
      </c>
      <c r="X43" t="s">
        <v>234</v>
      </c>
      <c r="Y43" t="s">
        <v>235</v>
      </c>
      <c r="Z43" t="s">
        <v>236</v>
      </c>
      <c r="AA43" t="s">
        <v>237</v>
      </c>
      <c r="AB43" t="s">
        <v>238</v>
      </c>
      <c r="AC43" t="s">
        <v>239</v>
      </c>
      <c r="AD43" t="s">
        <v>240</v>
      </c>
      <c r="AE43" t="s">
        <v>241</v>
      </c>
      <c r="AF43" t="s">
        <v>242</v>
      </c>
      <c r="AG43" t="s">
        <v>243</v>
      </c>
      <c r="AH43" t="s">
        <v>244</v>
      </c>
      <c r="AI43" t="s">
        <v>245</v>
      </c>
      <c r="AJ43" t="s">
        <v>246</v>
      </c>
    </row>
    <row r="44" spans="2:36" hidden="1" x14ac:dyDescent="0.3">
      <c r="B44" s="3" t="s">
        <v>66</v>
      </c>
      <c r="C44" s="3" t="s">
        <v>27</v>
      </c>
      <c r="D44" s="3" t="s">
        <v>11</v>
      </c>
      <c r="E44" s="3" t="s">
        <v>12</v>
      </c>
      <c r="F44" s="12">
        <v>41589</v>
      </c>
      <c r="G44" s="3">
        <v>68</v>
      </c>
      <c r="H44" s="3">
        <v>73</v>
      </c>
      <c r="I44" s="3">
        <v>141</v>
      </c>
      <c r="J44" s="3">
        <v>70.5</v>
      </c>
      <c r="K44" t="s">
        <v>221</v>
      </c>
      <c r="L44" t="s">
        <v>222</v>
      </c>
      <c r="M44" t="s">
        <v>223</v>
      </c>
      <c r="N44" t="s">
        <v>224</v>
      </c>
      <c r="O44" t="s">
        <v>225</v>
      </c>
      <c r="P44" t="s">
        <v>226</v>
      </c>
      <c r="Q44" t="s">
        <v>227</v>
      </c>
      <c r="R44" t="s">
        <v>228</v>
      </c>
      <c r="S44" t="s">
        <v>229</v>
      </c>
      <c r="T44" t="s">
        <v>230</v>
      </c>
      <c r="U44" t="s">
        <v>231</v>
      </c>
      <c r="V44" t="s">
        <v>232</v>
      </c>
      <c r="W44" t="s">
        <v>233</v>
      </c>
      <c r="X44" t="s">
        <v>234</v>
      </c>
      <c r="Y44" t="s">
        <v>235</v>
      </c>
      <c r="Z44" t="s">
        <v>236</v>
      </c>
      <c r="AA44" t="s">
        <v>237</v>
      </c>
      <c r="AB44" t="s">
        <v>238</v>
      </c>
      <c r="AC44" t="s">
        <v>239</v>
      </c>
      <c r="AD44" t="s">
        <v>240</v>
      </c>
      <c r="AE44" t="s">
        <v>241</v>
      </c>
      <c r="AF44" t="s">
        <v>242</v>
      </c>
      <c r="AG44" t="s">
        <v>243</v>
      </c>
      <c r="AH44" t="s">
        <v>244</v>
      </c>
      <c r="AI44" t="s">
        <v>245</v>
      </c>
      <c r="AJ44" t="s">
        <v>246</v>
      </c>
    </row>
    <row r="45" spans="2:36" hidden="1" x14ac:dyDescent="0.3">
      <c r="B45" s="3" t="s">
        <v>67</v>
      </c>
      <c r="C45" s="3" t="s">
        <v>68</v>
      </c>
      <c r="D45" s="3" t="s">
        <v>23</v>
      </c>
      <c r="E45" s="3" t="s">
        <v>15</v>
      </c>
      <c r="F45" s="12">
        <v>40080</v>
      </c>
      <c r="G45" s="3">
        <v>63</v>
      </c>
      <c r="H45" s="3">
        <v>62</v>
      </c>
      <c r="I45" s="3">
        <v>125</v>
      </c>
      <c r="J45" s="3">
        <v>62.5</v>
      </c>
      <c r="K45" t="s">
        <v>221</v>
      </c>
      <c r="L45" t="s">
        <v>222</v>
      </c>
      <c r="M45" t="s">
        <v>223</v>
      </c>
      <c r="N45" t="s">
        <v>224</v>
      </c>
      <c r="O45" t="s">
        <v>225</v>
      </c>
      <c r="P45" t="s">
        <v>226</v>
      </c>
      <c r="Q45" t="s">
        <v>227</v>
      </c>
      <c r="R45" t="s">
        <v>228</v>
      </c>
      <c r="S45" t="s">
        <v>229</v>
      </c>
      <c r="T45" t="s">
        <v>230</v>
      </c>
      <c r="U45" t="s">
        <v>231</v>
      </c>
      <c r="V45" t="s">
        <v>232</v>
      </c>
      <c r="W45" t="s">
        <v>233</v>
      </c>
      <c r="X45" t="s">
        <v>234</v>
      </c>
      <c r="Y45" t="s">
        <v>235</v>
      </c>
      <c r="Z45" t="s">
        <v>236</v>
      </c>
      <c r="AA45" t="s">
        <v>237</v>
      </c>
      <c r="AB45" t="s">
        <v>238</v>
      </c>
      <c r="AC45" t="s">
        <v>239</v>
      </c>
      <c r="AD45" t="s">
        <v>240</v>
      </c>
      <c r="AE45" t="s">
        <v>241</v>
      </c>
      <c r="AF45" t="s">
        <v>242</v>
      </c>
      <c r="AG45" t="s">
        <v>243</v>
      </c>
      <c r="AH45" t="s">
        <v>244</v>
      </c>
      <c r="AI45" t="s">
        <v>245</v>
      </c>
      <c r="AJ45" t="s">
        <v>246</v>
      </c>
    </row>
    <row r="46" spans="2:36" hidden="1" x14ac:dyDescent="0.3">
      <c r="B46" s="3" t="s">
        <v>69</v>
      </c>
      <c r="C46" s="3" t="s">
        <v>14</v>
      </c>
      <c r="D46" s="3" t="s">
        <v>31</v>
      </c>
      <c r="E46" s="3" t="s">
        <v>15</v>
      </c>
      <c r="F46" s="12">
        <v>35727</v>
      </c>
      <c r="G46" s="3">
        <v>88</v>
      </c>
      <c r="H46" s="3">
        <v>85</v>
      </c>
      <c r="I46" s="3">
        <v>173</v>
      </c>
      <c r="J46" s="3">
        <v>86.5</v>
      </c>
      <c r="K46" t="s">
        <v>221</v>
      </c>
      <c r="L46" t="s">
        <v>222</v>
      </c>
      <c r="M46" t="s">
        <v>223</v>
      </c>
      <c r="N46" t="s">
        <v>224</v>
      </c>
      <c r="O46" t="s">
        <v>225</v>
      </c>
      <c r="P46" t="s">
        <v>226</v>
      </c>
      <c r="Q46" t="s">
        <v>227</v>
      </c>
      <c r="R46" t="s">
        <v>228</v>
      </c>
      <c r="S46" t="s">
        <v>229</v>
      </c>
      <c r="T46" t="s">
        <v>230</v>
      </c>
      <c r="U46" t="s">
        <v>231</v>
      </c>
      <c r="V46" t="s">
        <v>232</v>
      </c>
      <c r="W46" t="s">
        <v>233</v>
      </c>
      <c r="X46" t="s">
        <v>234</v>
      </c>
      <c r="Y46" t="s">
        <v>235</v>
      </c>
      <c r="Z46" t="s">
        <v>236</v>
      </c>
      <c r="AA46" t="s">
        <v>237</v>
      </c>
      <c r="AB46" t="s">
        <v>238</v>
      </c>
      <c r="AC46" t="s">
        <v>239</v>
      </c>
      <c r="AD46" t="s">
        <v>240</v>
      </c>
      <c r="AE46" t="s">
        <v>241</v>
      </c>
      <c r="AF46" t="s">
        <v>242</v>
      </c>
      <c r="AG46" t="s">
        <v>243</v>
      </c>
      <c r="AH46" t="s">
        <v>244</v>
      </c>
      <c r="AI46" t="s">
        <v>245</v>
      </c>
      <c r="AJ46" t="s">
        <v>246</v>
      </c>
    </row>
    <row r="47" spans="2:36" hidden="1" x14ac:dyDescent="0.3">
      <c r="B47" s="3" t="s">
        <v>70</v>
      </c>
      <c r="C47" s="3" t="s">
        <v>27</v>
      </c>
      <c r="D47" s="3" t="s">
        <v>11</v>
      </c>
      <c r="E47" s="3" t="s">
        <v>12</v>
      </c>
      <c r="F47" s="12">
        <v>40883</v>
      </c>
      <c r="G47" s="3">
        <v>62</v>
      </c>
      <c r="H47" s="3">
        <v>95</v>
      </c>
      <c r="I47" s="3">
        <v>157</v>
      </c>
      <c r="J47" s="3">
        <v>78.5</v>
      </c>
      <c r="K47" t="s">
        <v>221</v>
      </c>
      <c r="L47" t="s">
        <v>222</v>
      </c>
      <c r="M47" t="s">
        <v>223</v>
      </c>
      <c r="N47" t="s">
        <v>224</v>
      </c>
      <c r="O47" t="s">
        <v>225</v>
      </c>
      <c r="P47" t="s">
        <v>226</v>
      </c>
      <c r="Q47" t="s">
        <v>227</v>
      </c>
      <c r="R47" t="s">
        <v>228</v>
      </c>
      <c r="S47" t="s">
        <v>229</v>
      </c>
      <c r="T47" t="s">
        <v>230</v>
      </c>
      <c r="U47" t="s">
        <v>231</v>
      </c>
      <c r="V47" t="s">
        <v>232</v>
      </c>
      <c r="W47" t="s">
        <v>233</v>
      </c>
      <c r="X47" t="s">
        <v>234</v>
      </c>
      <c r="Y47" t="s">
        <v>235</v>
      </c>
      <c r="Z47" t="s">
        <v>236</v>
      </c>
      <c r="AA47" t="s">
        <v>237</v>
      </c>
      <c r="AB47" t="s">
        <v>238</v>
      </c>
      <c r="AC47" t="s">
        <v>239</v>
      </c>
      <c r="AD47" t="s">
        <v>240</v>
      </c>
      <c r="AE47" t="s">
        <v>241</v>
      </c>
      <c r="AF47" t="s">
        <v>242</v>
      </c>
      <c r="AG47" t="s">
        <v>243</v>
      </c>
      <c r="AH47" t="s">
        <v>244</v>
      </c>
      <c r="AI47" t="s">
        <v>245</v>
      </c>
      <c r="AJ47" t="s">
        <v>246</v>
      </c>
    </row>
    <row r="48" spans="2:36" hidden="1" x14ac:dyDescent="0.3">
      <c r="B48" s="3" t="s">
        <v>71</v>
      </c>
      <c r="C48" s="3" t="s">
        <v>27</v>
      </c>
      <c r="D48" s="3" t="s">
        <v>11</v>
      </c>
      <c r="E48" s="3" t="s">
        <v>15</v>
      </c>
      <c r="F48" s="12">
        <v>41337</v>
      </c>
      <c r="G48" s="3">
        <v>95</v>
      </c>
      <c r="H48" s="3">
        <v>72</v>
      </c>
      <c r="I48" s="3">
        <v>167</v>
      </c>
      <c r="J48" s="3">
        <v>83.5</v>
      </c>
      <c r="K48" t="s">
        <v>221</v>
      </c>
      <c r="L48" t="s">
        <v>222</v>
      </c>
      <c r="M48" t="s">
        <v>223</v>
      </c>
      <c r="N48" t="s">
        <v>224</v>
      </c>
      <c r="O48" t="s">
        <v>225</v>
      </c>
      <c r="P48" t="s">
        <v>226</v>
      </c>
      <c r="Q48" t="s">
        <v>227</v>
      </c>
      <c r="R48" t="s">
        <v>228</v>
      </c>
      <c r="S48" t="s">
        <v>229</v>
      </c>
      <c r="T48" t="s">
        <v>230</v>
      </c>
      <c r="U48" t="s">
        <v>231</v>
      </c>
      <c r="V48" t="s">
        <v>232</v>
      </c>
      <c r="W48" t="s">
        <v>233</v>
      </c>
      <c r="X48" t="s">
        <v>234</v>
      </c>
      <c r="Y48" t="s">
        <v>235</v>
      </c>
      <c r="Z48" t="s">
        <v>236</v>
      </c>
      <c r="AA48" t="s">
        <v>237</v>
      </c>
      <c r="AB48" t="s">
        <v>238</v>
      </c>
      <c r="AC48" t="s">
        <v>239</v>
      </c>
      <c r="AD48" t="s">
        <v>240</v>
      </c>
      <c r="AE48" t="s">
        <v>241</v>
      </c>
      <c r="AF48" t="s">
        <v>242</v>
      </c>
      <c r="AG48" t="s">
        <v>243</v>
      </c>
      <c r="AH48" t="s">
        <v>244</v>
      </c>
      <c r="AI48" t="s">
        <v>245</v>
      </c>
      <c r="AJ48" t="s">
        <v>246</v>
      </c>
    </row>
    <row r="49" spans="2:36" hidden="1" x14ac:dyDescent="0.3">
      <c r="B49" s="3" t="s">
        <v>72</v>
      </c>
      <c r="C49" s="3" t="s">
        <v>17</v>
      </c>
      <c r="D49" s="3" t="s">
        <v>11</v>
      </c>
      <c r="E49" s="3" t="s">
        <v>12</v>
      </c>
      <c r="F49" s="12">
        <v>40683</v>
      </c>
      <c r="G49" s="3">
        <v>93</v>
      </c>
      <c r="H49" s="3">
        <v>69</v>
      </c>
      <c r="I49" s="3">
        <v>162</v>
      </c>
      <c r="J49" s="3">
        <v>81</v>
      </c>
      <c r="K49" t="s">
        <v>221</v>
      </c>
      <c r="L49" t="s">
        <v>222</v>
      </c>
      <c r="M49" t="s">
        <v>223</v>
      </c>
      <c r="N49" t="s">
        <v>224</v>
      </c>
      <c r="O49" t="s">
        <v>225</v>
      </c>
      <c r="P49" t="s">
        <v>226</v>
      </c>
      <c r="Q49" t="s">
        <v>227</v>
      </c>
      <c r="R49" t="s">
        <v>228</v>
      </c>
      <c r="S49" t="s">
        <v>229</v>
      </c>
      <c r="T49" t="s">
        <v>230</v>
      </c>
      <c r="U49" t="s">
        <v>231</v>
      </c>
      <c r="V49" t="s">
        <v>232</v>
      </c>
      <c r="W49" t="s">
        <v>233</v>
      </c>
      <c r="X49" t="s">
        <v>234</v>
      </c>
      <c r="Y49" t="s">
        <v>235</v>
      </c>
      <c r="Z49" t="s">
        <v>236</v>
      </c>
      <c r="AA49" t="s">
        <v>237</v>
      </c>
      <c r="AB49" t="s">
        <v>238</v>
      </c>
      <c r="AC49" t="s">
        <v>239</v>
      </c>
      <c r="AD49" t="s">
        <v>240</v>
      </c>
      <c r="AE49" t="s">
        <v>241</v>
      </c>
      <c r="AF49" t="s">
        <v>242</v>
      </c>
      <c r="AG49" t="s">
        <v>243</v>
      </c>
      <c r="AH49" t="s">
        <v>244</v>
      </c>
      <c r="AI49" t="s">
        <v>245</v>
      </c>
      <c r="AJ49" t="s">
        <v>246</v>
      </c>
    </row>
    <row r="50" spans="2:36" hidden="1" x14ac:dyDescent="0.3">
      <c r="B50" s="3" t="s">
        <v>73</v>
      </c>
      <c r="C50" s="3" t="s">
        <v>27</v>
      </c>
      <c r="D50" s="3" t="s">
        <v>31</v>
      </c>
      <c r="E50" s="3" t="s">
        <v>12</v>
      </c>
      <c r="F50" s="12">
        <v>36843</v>
      </c>
      <c r="G50" s="3">
        <v>79</v>
      </c>
      <c r="H50" s="3">
        <v>71</v>
      </c>
      <c r="I50" s="3">
        <v>150</v>
      </c>
      <c r="J50" s="3">
        <v>75</v>
      </c>
      <c r="K50" t="s">
        <v>221</v>
      </c>
      <c r="L50" t="s">
        <v>222</v>
      </c>
      <c r="M50" t="s">
        <v>223</v>
      </c>
      <c r="N50" t="s">
        <v>224</v>
      </c>
      <c r="O50" t="s">
        <v>225</v>
      </c>
      <c r="P50" t="s">
        <v>226</v>
      </c>
      <c r="Q50" t="s">
        <v>227</v>
      </c>
      <c r="R50" t="s">
        <v>228</v>
      </c>
      <c r="S50" t="s">
        <v>229</v>
      </c>
      <c r="T50" t="s">
        <v>230</v>
      </c>
      <c r="U50" t="s">
        <v>231</v>
      </c>
      <c r="V50" t="s">
        <v>232</v>
      </c>
      <c r="W50" t="s">
        <v>233</v>
      </c>
      <c r="X50" t="s">
        <v>234</v>
      </c>
      <c r="Y50" t="s">
        <v>235</v>
      </c>
      <c r="Z50" t="s">
        <v>236</v>
      </c>
      <c r="AA50" t="s">
        <v>237</v>
      </c>
      <c r="AB50" t="s">
        <v>238</v>
      </c>
      <c r="AC50" t="s">
        <v>239</v>
      </c>
      <c r="AD50" t="s">
        <v>240</v>
      </c>
      <c r="AE50" t="s">
        <v>241</v>
      </c>
      <c r="AF50" t="s">
        <v>242</v>
      </c>
      <c r="AG50" t="s">
        <v>243</v>
      </c>
      <c r="AH50" t="s">
        <v>244</v>
      </c>
      <c r="AI50" t="s">
        <v>245</v>
      </c>
      <c r="AJ50" t="s">
        <v>246</v>
      </c>
    </row>
    <row r="51" spans="2:36" hidden="1" x14ac:dyDescent="0.3">
      <c r="B51" s="3" t="s">
        <v>74</v>
      </c>
      <c r="C51" s="3" t="s">
        <v>17</v>
      </c>
      <c r="D51" s="3" t="s">
        <v>35</v>
      </c>
      <c r="E51" s="3" t="s">
        <v>12</v>
      </c>
      <c r="F51" s="12">
        <v>37285</v>
      </c>
      <c r="G51" s="3">
        <v>69</v>
      </c>
      <c r="H51" s="3">
        <v>88</v>
      </c>
      <c r="I51" s="3">
        <v>157</v>
      </c>
      <c r="J51" s="3">
        <v>78.5</v>
      </c>
      <c r="K51" t="s">
        <v>221</v>
      </c>
      <c r="L51" t="s">
        <v>222</v>
      </c>
      <c r="M51" t="s">
        <v>223</v>
      </c>
      <c r="N51" t="s">
        <v>224</v>
      </c>
      <c r="O51" t="s">
        <v>225</v>
      </c>
      <c r="P51" t="s">
        <v>226</v>
      </c>
      <c r="Q51" t="s">
        <v>227</v>
      </c>
      <c r="R51" t="s">
        <v>228</v>
      </c>
      <c r="S51" t="s">
        <v>229</v>
      </c>
      <c r="T51" t="s">
        <v>230</v>
      </c>
      <c r="U51" t="s">
        <v>231</v>
      </c>
      <c r="V51" t="s">
        <v>232</v>
      </c>
      <c r="W51" t="s">
        <v>233</v>
      </c>
      <c r="X51" t="s">
        <v>234</v>
      </c>
      <c r="Y51" t="s">
        <v>235</v>
      </c>
      <c r="Z51" t="s">
        <v>236</v>
      </c>
      <c r="AA51" t="s">
        <v>237</v>
      </c>
      <c r="AB51" t="s">
        <v>238</v>
      </c>
      <c r="AC51" t="s">
        <v>239</v>
      </c>
      <c r="AD51" t="s">
        <v>240</v>
      </c>
      <c r="AE51" t="s">
        <v>241</v>
      </c>
      <c r="AF51" t="s">
        <v>242</v>
      </c>
      <c r="AG51" t="s">
        <v>243</v>
      </c>
      <c r="AH51" t="s">
        <v>244</v>
      </c>
      <c r="AI51" t="s">
        <v>245</v>
      </c>
      <c r="AJ51" t="s">
        <v>246</v>
      </c>
    </row>
    <row r="52" spans="2:36" hidden="1" x14ac:dyDescent="0.3">
      <c r="B52" s="3" t="s">
        <v>75</v>
      </c>
      <c r="C52" s="3" t="s">
        <v>53</v>
      </c>
      <c r="D52" s="3" t="s">
        <v>11</v>
      </c>
      <c r="E52" s="3" t="s">
        <v>15</v>
      </c>
      <c r="F52" s="12">
        <v>42699</v>
      </c>
      <c r="G52" s="3">
        <v>95</v>
      </c>
      <c r="H52" s="3">
        <v>83</v>
      </c>
      <c r="I52" s="3">
        <v>178</v>
      </c>
      <c r="J52" s="3">
        <v>89</v>
      </c>
      <c r="K52" t="s">
        <v>221</v>
      </c>
      <c r="L52" t="s">
        <v>222</v>
      </c>
      <c r="M52" t="s">
        <v>223</v>
      </c>
      <c r="N52" t="s">
        <v>224</v>
      </c>
      <c r="O52" t="s">
        <v>225</v>
      </c>
      <c r="P52" t="s">
        <v>226</v>
      </c>
      <c r="Q52" t="s">
        <v>227</v>
      </c>
      <c r="R52" t="s">
        <v>228</v>
      </c>
      <c r="S52" t="s">
        <v>229</v>
      </c>
      <c r="T52" t="s">
        <v>230</v>
      </c>
      <c r="U52" t="s">
        <v>231</v>
      </c>
      <c r="V52" t="s">
        <v>232</v>
      </c>
      <c r="W52" t="s">
        <v>233</v>
      </c>
      <c r="X52" t="s">
        <v>234</v>
      </c>
      <c r="Y52" t="s">
        <v>235</v>
      </c>
      <c r="Z52" t="s">
        <v>236</v>
      </c>
      <c r="AA52" t="s">
        <v>237</v>
      </c>
      <c r="AB52" t="s">
        <v>238</v>
      </c>
      <c r="AC52" t="s">
        <v>239</v>
      </c>
      <c r="AD52" t="s">
        <v>240</v>
      </c>
      <c r="AE52" t="s">
        <v>241</v>
      </c>
      <c r="AF52" t="s">
        <v>242</v>
      </c>
      <c r="AG52" t="s">
        <v>243</v>
      </c>
      <c r="AH52" t="s">
        <v>244</v>
      </c>
      <c r="AI52" t="s">
        <v>245</v>
      </c>
      <c r="AJ52" t="s">
        <v>246</v>
      </c>
    </row>
    <row r="53" spans="2:36" hidden="1" x14ac:dyDescent="0.3">
      <c r="B53" s="3" t="s">
        <v>76</v>
      </c>
      <c r="C53" s="3" t="s">
        <v>27</v>
      </c>
      <c r="D53" s="3" t="s">
        <v>11</v>
      </c>
      <c r="E53" s="3" t="s">
        <v>15</v>
      </c>
      <c r="F53" s="12">
        <v>42667</v>
      </c>
      <c r="G53" s="3">
        <v>64</v>
      </c>
      <c r="H53" s="3">
        <v>87</v>
      </c>
      <c r="I53" s="3">
        <v>151</v>
      </c>
      <c r="J53" s="3">
        <v>75.5</v>
      </c>
      <c r="K53" t="s">
        <v>221</v>
      </c>
      <c r="L53" t="s">
        <v>222</v>
      </c>
      <c r="M53" t="s">
        <v>223</v>
      </c>
      <c r="N53" t="s">
        <v>224</v>
      </c>
      <c r="O53" t="s">
        <v>225</v>
      </c>
      <c r="P53" t="s">
        <v>226</v>
      </c>
      <c r="Q53" t="s">
        <v>227</v>
      </c>
      <c r="R53" t="s">
        <v>228</v>
      </c>
      <c r="S53" t="s">
        <v>229</v>
      </c>
      <c r="T53" t="s">
        <v>230</v>
      </c>
      <c r="U53" t="s">
        <v>231</v>
      </c>
      <c r="V53" t="s">
        <v>232</v>
      </c>
      <c r="W53" t="s">
        <v>233</v>
      </c>
      <c r="X53" t="s">
        <v>234</v>
      </c>
      <c r="Y53" t="s">
        <v>235</v>
      </c>
      <c r="Z53" t="s">
        <v>236</v>
      </c>
      <c r="AA53" t="s">
        <v>237</v>
      </c>
      <c r="AB53" t="s">
        <v>238</v>
      </c>
      <c r="AC53" t="s">
        <v>239</v>
      </c>
      <c r="AD53" t="s">
        <v>240</v>
      </c>
      <c r="AE53" t="s">
        <v>241</v>
      </c>
      <c r="AF53" t="s">
        <v>242</v>
      </c>
      <c r="AG53" t="s">
        <v>243</v>
      </c>
      <c r="AH53" t="s">
        <v>244</v>
      </c>
      <c r="AI53" t="s">
        <v>245</v>
      </c>
      <c r="AJ53" t="s">
        <v>246</v>
      </c>
    </row>
    <row r="54" spans="2:36" hidden="1" x14ac:dyDescent="0.3">
      <c r="B54" s="3" t="s">
        <v>77</v>
      </c>
      <c r="C54" s="3" t="s">
        <v>17</v>
      </c>
      <c r="D54" s="3" t="s">
        <v>23</v>
      </c>
      <c r="E54" s="3" t="s">
        <v>12</v>
      </c>
      <c r="F54" s="12">
        <v>39605</v>
      </c>
      <c r="G54" s="3">
        <v>93</v>
      </c>
      <c r="H54" s="3">
        <v>64</v>
      </c>
      <c r="I54" s="3">
        <v>157</v>
      </c>
      <c r="J54" s="3">
        <v>78.5</v>
      </c>
      <c r="K54" t="s">
        <v>221</v>
      </c>
      <c r="L54" t="s">
        <v>222</v>
      </c>
      <c r="M54" t="s">
        <v>223</v>
      </c>
      <c r="N54" t="s">
        <v>224</v>
      </c>
      <c r="O54" t="s">
        <v>225</v>
      </c>
      <c r="P54" t="s">
        <v>226</v>
      </c>
      <c r="Q54" t="s">
        <v>227</v>
      </c>
      <c r="R54" t="s">
        <v>228</v>
      </c>
      <c r="S54" t="s">
        <v>229</v>
      </c>
      <c r="T54" t="s">
        <v>230</v>
      </c>
      <c r="U54" t="s">
        <v>231</v>
      </c>
      <c r="V54" t="s">
        <v>232</v>
      </c>
      <c r="W54" t="s">
        <v>233</v>
      </c>
      <c r="X54" t="s">
        <v>234</v>
      </c>
      <c r="Y54" t="s">
        <v>235</v>
      </c>
      <c r="Z54" t="s">
        <v>236</v>
      </c>
      <c r="AA54" t="s">
        <v>237</v>
      </c>
      <c r="AB54" t="s">
        <v>238</v>
      </c>
      <c r="AC54" t="s">
        <v>239</v>
      </c>
      <c r="AD54" t="s">
        <v>240</v>
      </c>
      <c r="AE54" t="s">
        <v>241</v>
      </c>
      <c r="AF54" t="s">
        <v>242</v>
      </c>
      <c r="AG54" t="s">
        <v>243</v>
      </c>
      <c r="AH54" t="s">
        <v>244</v>
      </c>
      <c r="AI54" t="s">
        <v>245</v>
      </c>
      <c r="AJ54" t="s">
        <v>246</v>
      </c>
    </row>
    <row r="55" spans="2:36" hidden="1" x14ac:dyDescent="0.3">
      <c r="B55" s="3" t="s">
        <v>78</v>
      </c>
      <c r="C55" s="3" t="s">
        <v>29</v>
      </c>
      <c r="D55" s="3" t="s">
        <v>23</v>
      </c>
      <c r="E55" s="3" t="s">
        <v>12</v>
      </c>
      <c r="F55" s="12">
        <v>40240</v>
      </c>
      <c r="G55" s="3">
        <v>67</v>
      </c>
      <c r="H55" s="3">
        <v>73</v>
      </c>
      <c r="I55" s="3">
        <v>140</v>
      </c>
      <c r="J55" s="3">
        <v>70</v>
      </c>
      <c r="K55" t="s">
        <v>221</v>
      </c>
      <c r="L55" t="s">
        <v>222</v>
      </c>
      <c r="M55" t="s">
        <v>223</v>
      </c>
      <c r="N55" t="s">
        <v>224</v>
      </c>
      <c r="O55" t="s">
        <v>225</v>
      </c>
      <c r="P55" t="s">
        <v>226</v>
      </c>
      <c r="Q55" t="s">
        <v>227</v>
      </c>
      <c r="R55" t="s">
        <v>228</v>
      </c>
      <c r="S55" t="s">
        <v>229</v>
      </c>
      <c r="T55" t="s">
        <v>230</v>
      </c>
      <c r="U55" t="s">
        <v>231</v>
      </c>
      <c r="V55" t="s">
        <v>232</v>
      </c>
      <c r="W55" t="s">
        <v>233</v>
      </c>
      <c r="X55" t="s">
        <v>234</v>
      </c>
      <c r="Y55" t="s">
        <v>235</v>
      </c>
      <c r="Z55" t="s">
        <v>236</v>
      </c>
      <c r="AA55" t="s">
        <v>237</v>
      </c>
      <c r="AB55" t="s">
        <v>238</v>
      </c>
      <c r="AC55" t="s">
        <v>239</v>
      </c>
      <c r="AD55" t="s">
        <v>240</v>
      </c>
      <c r="AE55" t="s">
        <v>241</v>
      </c>
      <c r="AF55" t="s">
        <v>242</v>
      </c>
      <c r="AG55" t="s">
        <v>243</v>
      </c>
      <c r="AH55" t="s">
        <v>244</v>
      </c>
      <c r="AI55" t="s">
        <v>245</v>
      </c>
      <c r="AJ55" t="s">
        <v>246</v>
      </c>
    </row>
    <row r="56" spans="2:36" hidden="1" x14ac:dyDescent="0.3">
      <c r="B56" s="3" t="s">
        <v>79</v>
      </c>
      <c r="C56" s="3" t="s">
        <v>22</v>
      </c>
      <c r="D56" s="3" t="s">
        <v>23</v>
      </c>
      <c r="E56" s="3" t="s">
        <v>12</v>
      </c>
      <c r="F56" s="12">
        <v>39542</v>
      </c>
      <c r="G56" s="3">
        <v>73</v>
      </c>
      <c r="H56" s="3">
        <v>60</v>
      </c>
      <c r="I56" s="3">
        <v>133</v>
      </c>
      <c r="J56" s="3">
        <v>66.5</v>
      </c>
      <c r="K56" t="s">
        <v>221</v>
      </c>
      <c r="L56" t="s">
        <v>222</v>
      </c>
      <c r="M56" t="s">
        <v>223</v>
      </c>
      <c r="N56" t="s">
        <v>224</v>
      </c>
      <c r="O56" t="s">
        <v>225</v>
      </c>
      <c r="P56" t="s">
        <v>226</v>
      </c>
      <c r="Q56" t="s">
        <v>227</v>
      </c>
      <c r="R56" t="s">
        <v>228</v>
      </c>
      <c r="S56" t="s">
        <v>229</v>
      </c>
      <c r="T56" t="s">
        <v>230</v>
      </c>
      <c r="U56" t="s">
        <v>231</v>
      </c>
      <c r="V56" t="s">
        <v>232</v>
      </c>
      <c r="W56" t="s">
        <v>233</v>
      </c>
      <c r="X56" t="s">
        <v>234</v>
      </c>
      <c r="Y56" t="s">
        <v>235</v>
      </c>
      <c r="Z56" t="s">
        <v>236</v>
      </c>
      <c r="AA56" t="s">
        <v>237</v>
      </c>
      <c r="AB56" t="s">
        <v>238</v>
      </c>
      <c r="AC56" t="s">
        <v>239</v>
      </c>
      <c r="AD56" t="s">
        <v>240</v>
      </c>
      <c r="AE56" t="s">
        <v>241</v>
      </c>
      <c r="AF56" t="s">
        <v>242</v>
      </c>
      <c r="AG56" t="s">
        <v>243</v>
      </c>
      <c r="AH56" t="s">
        <v>244</v>
      </c>
      <c r="AI56" t="s">
        <v>245</v>
      </c>
      <c r="AJ56" t="s">
        <v>246</v>
      </c>
    </row>
    <row r="57" spans="2:36" hidden="1" x14ac:dyDescent="0.3">
      <c r="B57" s="3" t="s">
        <v>80</v>
      </c>
      <c r="C57" s="3" t="s">
        <v>53</v>
      </c>
      <c r="D57" s="3" t="s">
        <v>23</v>
      </c>
      <c r="E57" s="3" t="s">
        <v>12</v>
      </c>
      <c r="F57" s="12">
        <v>40765</v>
      </c>
      <c r="G57" s="3">
        <v>60</v>
      </c>
      <c r="H57" s="3">
        <v>75</v>
      </c>
      <c r="I57" s="3">
        <v>135</v>
      </c>
      <c r="J57" s="3">
        <v>67.5</v>
      </c>
      <c r="K57" t="s">
        <v>221</v>
      </c>
      <c r="L57" t="s">
        <v>222</v>
      </c>
      <c r="M57" t="s">
        <v>223</v>
      </c>
      <c r="N57" t="s">
        <v>224</v>
      </c>
      <c r="O57" t="s">
        <v>225</v>
      </c>
      <c r="P57" t="s">
        <v>226</v>
      </c>
      <c r="Q57" t="s">
        <v>227</v>
      </c>
      <c r="R57" t="s">
        <v>228</v>
      </c>
      <c r="S57" t="s">
        <v>229</v>
      </c>
      <c r="T57" t="s">
        <v>230</v>
      </c>
      <c r="U57" t="s">
        <v>231</v>
      </c>
      <c r="V57" t="s">
        <v>232</v>
      </c>
      <c r="W57" t="s">
        <v>233</v>
      </c>
      <c r="X57" t="s">
        <v>234</v>
      </c>
      <c r="Y57" t="s">
        <v>235</v>
      </c>
      <c r="Z57" t="s">
        <v>236</v>
      </c>
      <c r="AA57" t="s">
        <v>237</v>
      </c>
      <c r="AB57" t="s">
        <v>238</v>
      </c>
      <c r="AC57" t="s">
        <v>239</v>
      </c>
      <c r="AD57" t="s">
        <v>240</v>
      </c>
      <c r="AE57" t="s">
        <v>241</v>
      </c>
      <c r="AF57" t="s">
        <v>242</v>
      </c>
      <c r="AG57" t="s">
        <v>243</v>
      </c>
      <c r="AH57" t="s">
        <v>244</v>
      </c>
      <c r="AI57" t="s">
        <v>245</v>
      </c>
      <c r="AJ57" t="s">
        <v>246</v>
      </c>
    </row>
    <row r="58" spans="2:36" x14ac:dyDescent="0.3">
      <c r="B58" s="3" t="s">
        <v>81</v>
      </c>
      <c r="C58" s="3" t="s">
        <v>10</v>
      </c>
      <c r="D58" s="3" t="s">
        <v>23</v>
      </c>
      <c r="E58" s="3" t="s">
        <v>12</v>
      </c>
      <c r="F58" s="12">
        <v>38912</v>
      </c>
      <c r="G58" s="3">
        <v>85</v>
      </c>
      <c r="H58" s="3">
        <v>94</v>
      </c>
      <c r="I58" s="3">
        <v>179</v>
      </c>
      <c r="J58" s="3">
        <v>89.5</v>
      </c>
      <c r="K58" t="s">
        <v>221</v>
      </c>
      <c r="L58" t="s">
        <v>222</v>
      </c>
      <c r="M58" t="s">
        <v>223</v>
      </c>
      <c r="N58" t="s">
        <v>224</v>
      </c>
      <c r="O58" t="s">
        <v>225</v>
      </c>
      <c r="P58" t="s">
        <v>226</v>
      </c>
      <c r="Q58" t="s">
        <v>227</v>
      </c>
      <c r="R58" t="s">
        <v>228</v>
      </c>
      <c r="S58" t="s">
        <v>229</v>
      </c>
      <c r="T58" t="s">
        <v>230</v>
      </c>
      <c r="U58" t="s">
        <v>231</v>
      </c>
      <c r="V58" t="s">
        <v>232</v>
      </c>
      <c r="W58" t="s">
        <v>233</v>
      </c>
      <c r="X58" t="s">
        <v>234</v>
      </c>
      <c r="Y58" t="s">
        <v>235</v>
      </c>
      <c r="Z58" t="s">
        <v>236</v>
      </c>
      <c r="AA58" t="s">
        <v>237</v>
      </c>
      <c r="AB58" t="s">
        <v>238</v>
      </c>
      <c r="AC58" t="s">
        <v>239</v>
      </c>
      <c r="AD58" t="s">
        <v>240</v>
      </c>
      <c r="AE58" t="s">
        <v>241</v>
      </c>
      <c r="AF58" t="s">
        <v>242</v>
      </c>
      <c r="AG58" t="s">
        <v>243</v>
      </c>
      <c r="AH58" t="s">
        <v>244</v>
      </c>
      <c r="AI58" t="s">
        <v>245</v>
      </c>
      <c r="AJ58" t="s">
        <v>246</v>
      </c>
    </row>
    <row r="59" spans="2:36" hidden="1" x14ac:dyDescent="0.3">
      <c r="B59" s="3" t="s">
        <v>82</v>
      </c>
      <c r="C59" s="3" t="s">
        <v>17</v>
      </c>
      <c r="D59" s="3" t="s">
        <v>31</v>
      </c>
      <c r="E59" s="3" t="s">
        <v>12</v>
      </c>
      <c r="F59" s="12">
        <v>37152</v>
      </c>
      <c r="G59" s="3">
        <v>97</v>
      </c>
      <c r="H59" s="3">
        <v>83</v>
      </c>
      <c r="I59" s="3">
        <v>180</v>
      </c>
      <c r="J59" s="3">
        <v>90</v>
      </c>
      <c r="K59" t="s">
        <v>221</v>
      </c>
      <c r="L59" t="s">
        <v>222</v>
      </c>
      <c r="M59" t="s">
        <v>223</v>
      </c>
      <c r="N59" t="s">
        <v>224</v>
      </c>
      <c r="O59" t="s">
        <v>225</v>
      </c>
      <c r="P59" t="s">
        <v>226</v>
      </c>
      <c r="Q59" t="s">
        <v>227</v>
      </c>
      <c r="R59" t="s">
        <v>228</v>
      </c>
      <c r="S59" t="s">
        <v>229</v>
      </c>
      <c r="T59" t="s">
        <v>230</v>
      </c>
      <c r="U59" t="s">
        <v>231</v>
      </c>
      <c r="V59" t="s">
        <v>232</v>
      </c>
      <c r="W59" t="s">
        <v>233</v>
      </c>
      <c r="X59" t="s">
        <v>234</v>
      </c>
      <c r="Y59" t="s">
        <v>235</v>
      </c>
      <c r="Z59" t="s">
        <v>236</v>
      </c>
      <c r="AA59" t="s">
        <v>237</v>
      </c>
      <c r="AB59" t="s">
        <v>238</v>
      </c>
      <c r="AC59" t="s">
        <v>239</v>
      </c>
      <c r="AD59" t="s">
        <v>240</v>
      </c>
      <c r="AE59" t="s">
        <v>241</v>
      </c>
      <c r="AF59" t="s">
        <v>242</v>
      </c>
      <c r="AG59" t="s">
        <v>243</v>
      </c>
      <c r="AH59" t="s">
        <v>244</v>
      </c>
      <c r="AI59" t="s">
        <v>245</v>
      </c>
      <c r="AJ59" t="s">
        <v>246</v>
      </c>
    </row>
    <row r="60" spans="2:36" hidden="1" x14ac:dyDescent="0.3">
      <c r="B60" s="3" t="s">
        <v>83</v>
      </c>
      <c r="C60" s="3" t="s">
        <v>25</v>
      </c>
      <c r="D60" s="3" t="s">
        <v>23</v>
      </c>
      <c r="E60" s="3" t="s">
        <v>12</v>
      </c>
      <c r="F60" s="12">
        <v>39779</v>
      </c>
      <c r="G60" s="3">
        <v>91</v>
      </c>
      <c r="H60" s="3">
        <v>84</v>
      </c>
      <c r="I60" s="3">
        <v>175</v>
      </c>
      <c r="J60" s="3">
        <v>87.5</v>
      </c>
      <c r="K60" t="s">
        <v>221</v>
      </c>
      <c r="L60" t="s">
        <v>222</v>
      </c>
      <c r="M60" t="s">
        <v>223</v>
      </c>
      <c r="N60" t="s">
        <v>224</v>
      </c>
      <c r="O60" t="s">
        <v>225</v>
      </c>
      <c r="P60" t="s">
        <v>226</v>
      </c>
      <c r="Q60" t="s">
        <v>227</v>
      </c>
      <c r="R60" t="s">
        <v>228</v>
      </c>
      <c r="S60" t="s">
        <v>229</v>
      </c>
      <c r="T60" t="s">
        <v>230</v>
      </c>
      <c r="U60" t="s">
        <v>231</v>
      </c>
      <c r="V60" t="s">
        <v>232</v>
      </c>
      <c r="W60" t="s">
        <v>233</v>
      </c>
      <c r="X60" t="s">
        <v>234</v>
      </c>
      <c r="Y60" t="s">
        <v>235</v>
      </c>
      <c r="Z60" t="s">
        <v>236</v>
      </c>
      <c r="AA60" t="s">
        <v>237</v>
      </c>
      <c r="AB60" t="s">
        <v>238</v>
      </c>
      <c r="AC60" t="s">
        <v>239</v>
      </c>
      <c r="AD60" t="s">
        <v>240</v>
      </c>
      <c r="AE60" t="s">
        <v>241</v>
      </c>
      <c r="AF60" t="s">
        <v>242</v>
      </c>
      <c r="AG60" t="s">
        <v>243</v>
      </c>
      <c r="AH60" t="s">
        <v>244</v>
      </c>
      <c r="AI60" t="s">
        <v>245</v>
      </c>
      <c r="AJ60" t="s">
        <v>246</v>
      </c>
    </row>
    <row r="61" spans="2:36" hidden="1" x14ac:dyDescent="0.3">
      <c r="B61" s="3" t="s">
        <v>84</v>
      </c>
      <c r="C61" s="3" t="s">
        <v>25</v>
      </c>
      <c r="D61" s="3" t="s">
        <v>23</v>
      </c>
      <c r="E61" s="3" t="s">
        <v>12</v>
      </c>
      <c r="F61" s="12">
        <v>40200</v>
      </c>
      <c r="G61" s="3">
        <v>75</v>
      </c>
      <c r="H61" s="3">
        <v>75</v>
      </c>
      <c r="I61" s="3">
        <v>150</v>
      </c>
      <c r="J61" s="3">
        <v>75</v>
      </c>
      <c r="K61" t="s">
        <v>221</v>
      </c>
      <c r="L61" t="s">
        <v>222</v>
      </c>
      <c r="M61" t="s">
        <v>223</v>
      </c>
      <c r="N61" t="s">
        <v>224</v>
      </c>
      <c r="O61" t="s">
        <v>225</v>
      </c>
      <c r="P61" t="s">
        <v>226</v>
      </c>
      <c r="Q61" t="s">
        <v>227</v>
      </c>
      <c r="R61" t="s">
        <v>228</v>
      </c>
      <c r="S61" t="s">
        <v>229</v>
      </c>
      <c r="T61" t="s">
        <v>230</v>
      </c>
      <c r="U61" t="s">
        <v>231</v>
      </c>
      <c r="V61" t="s">
        <v>232</v>
      </c>
      <c r="W61" t="s">
        <v>233</v>
      </c>
      <c r="X61" t="s">
        <v>234</v>
      </c>
      <c r="Y61" t="s">
        <v>235</v>
      </c>
      <c r="Z61" t="s">
        <v>236</v>
      </c>
      <c r="AA61" t="s">
        <v>237</v>
      </c>
      <c r="AB61" t="s">
        <v>238</v>
      </c>
      <c r="AC61" t="s">
        <v>239</v>
      </c>
      <c r="AD61" t="s">
        <v>240</v>
      </c>
      <c r="AE61" t="s">
        <v>241</v>
      </c>
      <c r="AF61" t="s">
        <v>242</v>
      </c>
      <c r="AG61" t="s">
        <v>243</v>
      </c>
      <c r="AH61" t="s">
        <v>244</v>
      </c>
      <c r="AI61" t="s">
        <v>245</v>
      </c>
      <c r="AJ61" t="s">
        <v>246</v>
      </c>
    </row>
    <row r="62" spans="2:36" hidden="1" x14ac:dyDescent="0.3">
      <c r="B62" s="3" t="s">
        <v>85</v>
      </c>
      <c r="C62" s="3" t="s">
        <v>25</v>
      </c>
      <c r="D62" s="3" t="s">
        <v>23</v>
      </c>
      <c r="E62" s="3" t="s">
        <v>12</v>
      </c>
      <c r="F62" s="12">
        <v>41030</v>
      </c>
      <c r="G62" s="3">
        <v>80</v>
      </c>
      <c r="H62" s="3">
        <v>79</v>
      </c>
      <c r="I62" s="3">
        <v>159</v>
      </c>
      <c r="J62" s="3">
        <v>79.5</v>
      </c>
      <c r="K62" t="s">
        <v>221</v>
      </c>
      <c r="L62" t="s">
        <v>222</v>
      </c>
      <c r="M62" t="s">
        <v>223</v>
      </c>
      <c r="N62" t="s">
        <v>224</v>
      </c>
      <c r="O62" t="s">
        <v>225</v>
      </c>
      <c r="P62" t="s">
        <v>226</v>
      </c>
      <c r="Q62" t="s">
        <v>227</v>
      </c>
      <c r="R62" t="s">
        <v>228</v>
      </c>
      <c r="S62" t="s">
        <v>229</v>
      </c>
      <c r="T62" t="s">
        <v>230</v>
      </c>
      <c r="U62" t="s">
        <v>231</v>
      </c>
      <c r="V62" t="s">
        <v>232</v>
      </c>
      <c r="W62" t="s">
        <v>233</v>
      </c>
      <c r="X62" t="s">
        <v>234</v>
      </c>
      <c r="Y62" t="s">
        <v>235</v>
      </c>
      <c r="Z62" t="s">
        <v>236</v>
      </c>
      <c r="AA62" t="s">
        <v>237</v>
      </c>
      <c r="AB62" t="s">
        <v>238</v>
      </c>
      <c r="AC62" t="s">
        <v>239</v>
      </c>
      <c r="AD62" t="s">
        <v>240</v>
      </c>
      <c r="AE62" t="s">
        <v>241</v>
      </c>
      <c r="AF62" t="s">
        <v>242</v>
      </c>
      <c r="AG62" t="s">
        <v>243</v>
      </c>
      <c r="AH62" t="s">
        <v>244</v>
      </c>
      <c r="AI62" t="s">
        <v>245</v>
      </c>
      <c r="AJ62" t="s">
        <v>246</v>
      </c>
    </row>
    <row r="63" spans="2:36" hidden="1" x14ac:dyDescent="0.3">
      <c r="B63" s="3" t="s">
        <v>86</v>
      </c>
      <c r="C63" s="3" t="s">
        <v>53</v>
      </c>
      <c r="D63" s="3" t="s">
        <v>31</v>
      </c>
      <c r="E63" s="3" t="s">
        <v>15</v>
      </c>
      <c r="F63" s="12">
        <v>36255</v>
      </c>
      <c r="G63" s="3">
        <v>87</v>
      </c>
      <c r="H63" s="3">
        <v>97</v>
      </c>
      <c r="I63" s="3">
        <v>184</v>
      </c>
      <c r="J63" s="3">
        <v>92</v>
      </c>
      <c r="K63" t="s">
        <v>221</v>
      </c>
      <c r="L63" t="s">
        <v>222</v>
      </c>
      <c r="M63" t="s">
        <v>223</v>
      </c>
      <c r="N63" t="s">
        <v>224</v>
      </c>
      <c r="O63" t="s">
        <v>225</v>
      </c>
      <c r="P63" t="s">
        <v>226</v>
      </c>
      <c r="Q63" t="s">
        <v>227</v>
      </c>
      <c r="R63" t="s">
        <v>228</v>
      </c>
      <c r="S63" t="s">
        <v>229</v>
      </c>
      <c r="T63" t="s">
        <v>230</v>
      </c>
      <c r="U63" t="s">
        <v>231</v>
      </c>
      <c r="V63" t="s">
        <v>232</v>
      </c>
      <c r="W63" t="s">
        <v>233</v>
      </c>
      <c r="X63" t="s">
        <v>234</v>
      </c>
      <c r="Y63" t="s">
        <v>235</v>
      </c>
      <c r="Z63" t="s">
        <v>236</v>
      </c>
      <c r="AA63" t="s">
        <v>237</v>
      </c>
      <c r="AB63" t="s">
        <v>238</v>
      </c>
      <c r="AC63" t="s">
        <v>239</v>
      </c>
      <c r="AD63" t="s">
        <v>240</v>
      </c>
      <c r="AE63" t="s">
        <v>241</v>
      </c>
      <c r="AF63" t="s">
        <v>242</v>
      </c>
      <c r="AG63" t="s">
        <v>243</v>
      </c>
      <c r="AH63" t="s">
        <v>244</v>
      </c>
      <c r="AI63" t="s">
        <v>245</v>
      </c>
      <c r="AJ63" t="s">
        <v>246</v>
      </c>
    </row>
    <row r="64" spans="2:36" hidden="1" x14ac:dyDescent="0.3">
      <c r="B64" s="3" t="s">
        <v>87</v>
      </c>
      <c r="C64" s="3" t="s">
        <v>68</v>
      </c>
      <c r="D64" s="3" t="s">
        <v>20</v>
      </c>
      <c r="E64" s="3" t="s">
        <v>12</v>
      </c>
      <c r="F64" s="12">
        <v>36419</v>
      </c>
      <c r="G64" s="3">
        <v>61</v>
      </c>
      <c r="H64" s="3">
        <v>71</v>
      </c>
      <c r="I64" s="3">
        <v>132</v>
      </c>
      <c r="J64" s="3">
        <v>66</v>
      </c>
      <c r="K64" t="s">
        <v>221</v>
      </c>
      <c r="L64" t="s">
        <v>222</v>
      </c>
      <c r="M64" t="s">
        <v>223</v>
      </c>
      <c r="N64" t="s">
        <v>224</v>
      </c>
      <c r="O64" t="s">
        <v>225</v>
      </c>
      <c r="P64" t="s">
        <v>226</v>
      </c>
      <c r="Q64" t="s">
        <v>227</v>
      </c>
      <c r="R64" t="s">
        <v>228</v>
      </c>
      <c r="S64" t="s">
        <v>229</v>
      </c>
      <c r="T64" t="s">
        <v>230</v>
      </c>
      <c r="U64" t="s">
        <v>231</v>
      </c>
      <c r="V64" t="s">
        <v>232</v>
      </c>
      <c r="W64" t="s">
        <v>233</v>
      </c>
      <c r="X64" t="s">
        <v>234</v>
      </c>
      <c r="Y64" t="s">
        <v>235</v>
      </c>
      <c r="Z64" t="s">
        <v>236</v>
      </c>
      <c r="AA64" t="s">
        <v>237</v>
      </c>
      <c r="AB64" t="s">
        <v>238</v>
      </c>
      <c r="AC64" t="s">
        <v>239</v>
      </c>
      <c r="AD64" t="s">
        <v>240</v>
      </c>
      <c r="AE64" t="s">
        <v>241</v>
      </c>
      <c r="AF64" t="s">
        <v>242</v>
      </c>
      <c r="AG64" t="s">
        <v>243</v>
      </c>
      <c r="AH64" t="s">
        <v>244</v>
      </c>
      <c r="AI64" t="s">
        <v>245</v>
      </c>
      <c r="AJ64" t="s">
        <v>246</v>
      </c>
    </row>
    <row r="65" spans="2:36" hidden="1" x14ac:dyDescent="0.3">
      <c r="B65" s="3" t="s">
        <v>88</v>
      </c>
      <c r="C65" s="3" t="s">
        <v>27</v>
      </c>
      <c r="D65" s="3" t="s">
        <v>35</v>
      </c>
      <c r="E65" s="3" t="s">
        <v>12</v>
      </c>
      <c r="F65" s="12">
        <v>38847</v>
      </c>
      <c r="G65" s="3">
        <v>99</v>
      </c>
      <c r="H65" s="3">
        <v>75</v>
      </c>
      <c r="I65" s="3">
        <v>174</v>
      </c>
      <c r="J65" s="3">
        <v>87</v>
      </c>
      <c r="K65" t="s">
        <v>221</v>
      </c>
      <c r="L65" t="s">
        <v>222</v>
      </c>
      <c r="M65" t="s">
        <v>223</v>
      </c>
      <c r="N65" t="s">
        <v>224</v>
      </c>
      <c r="O65" t="s">
        <v>225</v>
      </c>
      <c r="P65" t="s">
        <v>226</v>
      </c>
      <c r="Q65" t="s">
        <v>227</v>
      </c>
      <c r="R65" t="s">
        <v>228</v>
      </c>
      <c r="S65" t="s">
        <v>229</v>
      </c>
      <c r="T65" t="s">
        <v>230</v>
      </c>
      <c r="U65" t="s">
        <v>231</v>
      </c>
      <c r="V65" t="s">
        <v>232</v>
      </c>
      <c r="W65" t="s">
        <v>233</v>
      </c>
      <c r="X65" t="s">
        <v>234</v>
      </c>
      <c r="Y65" t="s">
        <v>235</v>
      </c>
      <c r="Z65" t="s">
        <v>236</v>
      </c>
      <c r="AA65" t="s">
        <v>237</v>
      </c>
      <c r="AB65" t="s">
        <v>238</v>
      </c>
      <c r="AC65" t="s">
        <v>239</v>
      </c>
      <c r="AD65" t="s">
        <v>240</v>
      </c>
      <c r="AE65" t="s">
        <v>241</v>
      </c>
      <c r="AF65" t="s">
        <v>242</v>
      </c>
      <c r="AG65" t="s">
        <v>243</v>
      </c>
      <c r="AH65" t="s">
        <v>244</v>
      </c>
      <c r="AI65" t="s">
        <v>245</v>
      </c>
      <c r="AJ65" t="s">
        <v>246</v>
      </c>
    </row>
    <row r="66" spans="2:36" hidden="1" x14ac:dyDescent="0.3">
      <c r="B66" s="3" t="s">
        <v>89</v>
      </c>
      <c r="C66" s="3" t="s">
        <v>53</v>
      </c>
      <c r="D66" s="3" t="s">
        <v>35</v>
      </c>
      <c r="E66" s="3" t="s">
        <v>15</v>
      </c>
      <c r="F66" s="12">
        <v>38987</v>
      </c>
      <c r="G66" s="3">
        <v>75</v>
      </c>
      <c r="H66" s="3">
        <v>61</v>
      </c>
      <c r="I66" s="3">
        <v>136</v>
      </c>
      <c r="J66" s="3">
        <v>68</v>
      </c>
      <c r="K66" t="s">
        <v>221</v>
      </c>
      <c r="L66" t="s">
        <v>222</v>
      </c>
      <c r="M66" t="s">
        <v>223</v>
      </c>
      <c r="N66" t="s">
        <v>224</v>
      </c>
      <c r="O66" t="s">
        <v>225</v>
      </c>
      <c r="P66" t="s">
        <v>226</v>
      </c>
      <c r="Q66" t="s">
        <v>227</v>
      </c>
      <c r="R66" t="s">
        <v>228</v>
      </c>
      <c r="S66" t="s">
        <v>229</v>
      </c>
      <c r="T66" t="s">
        <v>230</v>
      </c>
      <c r="U66" t="s">
        <v>231</v>
      </c>
      <c r="V66" t="s">
        <v>232</v>
      </c>
      <c r="W66" t="s">
        <v>233</v>
      </c>
      <c r="X66" t="s">
        <v>234</v>
      </c>
      <c r="Y66" t="s">
        <v>235</v>
      </c>
      <c r="Z66" t="s">
        <v>236</v>
      </c>
      <c r="AA66" t="s">
        <v>237</v>
      </c>
      <c r="AB66" t="s">
        <v>238</v>
      </c>
      <c r="AC66" t="s">
        <v>239</v>
      </c>
      <c r="AD66" t="s">
        <v>240</v>
      </c>
      <c r="AE66" t="s">
        <v>241</v>
      </c>
      <c r="AF66" t="s">
        <v>242</v>
      </c>
      <c r="AG66" t="s">
        <v>243</v>
      </c>
      <c r="AH66" t="s">
        <v>244</v>
      </c>
      <c r="AI66" t="s">
        <v>245</v>
      </c>
      <c r="AJ66" t="s">
        <v>246</v>
      </c>
    </row>
    <row r="67" spans="2:36" hidden="1" x14ac:dyDescent="0.3">
      <c r="B67" s="3" t="s">
        <v>90</v>
      </c>
      <c r="C67" s="3" t="s">
        <v>29</v>
      </c>
      <c r="D67" s="3" t="s">
        <v>11</v>
      </c>
      <c r="E67" s="3" t="s">
        <v>15</v>
      </c>
      <c r="F67" s="12">
        <v>41157</v>
      </c>
      <c r="G67" s="3">
        <v>77</v>
      </c>
      <c r="H67" s="3">
        <v>63</v>
      </c>
      <c r="I67" s="3">
        <v>140</v>
      </c>
      <c r="J67" s="3">
        <v>70</v>
      </c>
      <c r="K67" t="s">
        <v>221</v>
      </c>
      <c r="L67" t="s">
        <v>222</v>
      </c>
      <c r="M67" t="s">
        <v>223</v>
      </c>
      <c r="N67" t="s">
        <v>224</v>
      </c>
      <c r="O67" t="s">
        <v>225</v>
      </c>
      <c r="P67" t="s">
        <v>226</v>
      </c>
      <c r="Q67" t="s">
        <v>227</v>
      </c>
      <c r="R67" t="s">
        <v>228</v>
      </c>
      <c r="S67" t="s">
        <v>229</v>
      </c>
      <c r="T67" t="s">
        <v>230</v>
      </c>
      <c r="U67" t="s">
        <v>231</v>
      </c>
      <c r="V67" t="s">
        <v>232</v>
      </c>
      <c r="W67" t="s">
        <v>233</v>
      </c>
      <c r="X67" t="s">
        <v>234</v>
      </c>
      <c r="Y67" t="s">
        <v>235</v>
      </c>
      <c r="Z67" t="s">
        <v>236</v>
      </c>
      <c r="AA67" t="s">
        <v>237</v>
      </c>
      <c r="AB67" t="s">
        <v>238</v>
      </c>
      <c r="AC67" t="s">
        <v>239</v>
      </c>
      <c r="AD67" t="s">
        <v>240</v>
      </c>
      <c r="AE67" t="s">
        <v>241</v>
      </c>
      <c r="AF67" t="s">
        <v>242</v>
      </c>
      <c r="AG67" t="s">
        <v>243</v>
      </c>
      <c r="AH67" t="s">
        <v>244</v>
      </c>
      <c r="AI67" t="s">
        <v>245</v>
      </c>
      <c r="AJ67" t="s">
        <v>246</v>
      </c>
    </row>
    <row r="68" spans="2:36" hidden="1" x14ac:dyDescent="0.3">
      <c r="B68" s="3" t="s">
        <v>91</v>
      </c>
      <c r="C68" s="3" t="s">
        <v>29</v>
      </c>
      <c r="D68" s="3" t="s">
        <v>35</v>
      </c>
      <c r="E68" s="3" t="s">
        <v>12</v>
      </c>
      <c r="F68" s="12">
        <v>38828</v>
      </c>
      <c r="G68" s="3">
        <v>60</v>
      </c>
      <c r="H68" s="3">
        <v>86</v>
      </c>
      <c r="I68" s="3">
        <v>146</v>
      </c>
      <c r="J68" s="3">
        <v>73</v>
      </c>
      <c r="K68" t="s">
        <v>221</v>
      </c>
      <c r="L68" t="s">
        <v>222</v>
      </c>
      <c r="M68" t="s">
        <v>223</v>
      </c>
      <c r="N68" t="s">
        <v>224</v>
      </c>
      <c r="O68" t="s">
        <v>225</v>
      </c>
      <c r="P68" t="s">
        <v>226</v>
      </c>
      <c r="Q68" t="s">
        <v>227</v>
      </c>
      <c r="R68" t="s">
        <v>228</v>
      </c>
      <c r="S68" t="s">
        <v>229</v>
      </c>
      <c r="T68" t="s">
        <v>230</v>
      </c>
      <c r="U68" t="s">
        <v>231</v>
      </c>
      <c r="V68" t="s">
        <v>232</v>
      </c>
      <c r="W68" t="s">
        <v>233</v>
      </c>
      <c r="X68" t="s">
        <v>234</v>
      </c>
      <c r="Y68" t="s">
        <v>235</v>
      </c>
      <c r="Z68" t="s">
        <v>236</v>
      </c>
      <c r="AA68" t="s">
        <v>237</v>
      </c>
      <c r="AB68" t="s">
        <v>238</v>
      </c>
      <c r="AC68" t="s">
        <v>239</v>
      </c>
      <c r="AD68" t="s">
        <v>240</v>
      </c>
      <c r="AE68" t="s">
        <v>241</v>
      </c>
      <c r="AF68" t="s">
        <v>242</v>
      </c>
      <c r="AG68" t="s">
        <v>243</v>
      </c>
      <c r="AH68" t="s">
        <v>244</v>
      </c>
      <c r="AI68" t="s">
        <v>245</v>
      </c>
      <c r="AJ68" t="s">
        <v>246</v>
      </c>
    </row>
    <row r="69" spans="2:36" hidden="1" x14ac:dyDescent="0.3">
      <c r="B69" s="3" t="s">
        <v>92</v>
      </c>
      <c r="C69" s="3" t="s">
        <v>22</v>
      </c>
      <c r="D69" s="3" t="s">
        <v>20</v>
      </c>
      <c r="E69" s="3" t="s">
        <v>12</v>
      </c>
      <c r="F69" s="12">
        <v>36441</v>
      </c>
      <c r="G69" s="3">
        <v>97</v>
      </c>
      <c r="H69" s="3">
        <v>94</v>
      </c>
      <c r="I69" s="3">
        <v>191</v>
      </c>
      <c r="J69" s="3">
        <v>95.5</v>
      </c>
      <c r="K69" t="s">
        <v>221</v>
      </c>
      <c r="L69" t="s">
        <v>222</v>
      </c>
      <c r="M69" t="s">
        <v>223</v>
      </c>
      <c r="N69" t="s">
        <v>224</v>
      </c>
      <c r="O69" t="s">
        <v>225</v>
      </c>
      <c r="P69" t="s">
        <v>226</v>
      </c>
      <c r="Q69" t="s">
        <v>227</v>
      </c>
      <c r="R69" t="s">
        <v>228</v>
      </c>
      <c r="S69" t="s">
        <v>229</v>
      </c>
      <c r="T69" t="s">
        <v>230</v>
      </c>
      <c r="U69" t="s">
        <v>231</v>
      </c>
      <c r="V69" t="s">
        <v>232</v>
      </c>
      <c r="W69" t="s">
        <v>233</v>
      </c>
      <c r="X69" t="s">
        <v>234</v>
      </c>
      <c r="Y69" t="s">
        <v>235</v>
      </c>
      <c r="Z69" t="s">
        <v>236</v>
      </c>
      <c r="AA69" t="s">
        <v>237</v>
      </c>
      <c r="AB69" t="s">
        <v>238</v>
      </c>
      <c r="AC69" t="s">
        <v>239</v>
      </c>
      <c r="AD69" t="s">
        <v>240</v>
      </c>
      <c r="AE69" t="s">
        <v>241</v>
      </c>
      <c r="AF69" t="s">
        <v>242</v>
      </c>
      <c r="AG69" t="s">
        <v>243</v>
      </c>
      <c r="AH69" t="s">
        <v>244</v>
      </c>
      <c r="AI69" t="s">
        <v>245</v>
      </c>
      <c r="AJ69" t="s">
        <v>246</v>
      </c>
    </row>
    <row r="70" spans="2:36" hidden="1" x14ac:dyDescent="0.3">
      <c r="B70" s="3" t="s">
        <v>93</v>
      </c>
      <c r="C70" s="3" t="s">
        <v>25</v>
      </c>
      <c r="D70" s="3" t="s">
        <v>20</v>
      </c>
      <c r="E70" s="3" t="s">
        <v>12</v>
      </c>
      <c r="F70" s="12">
        <v>35908</v>
      </c>
      <c r="G70" s="3">
        <v>75</v>
      </c>
      <c r="H70" s="3">
        <v>90</v>
      </c>
      <c r="I70" s="3">
        <v>165</v>
      </c>
      <c r="J70" s="3">
        <v>82.5</v>
      </c>
      <c r="K70" t="s">
        <v>221</v>
      </c>
      <c r="L70" t="s">
        <v>222</v>
      </c>
      <c r="M70" t="s">
        <v>223</v>
      </c>
      <c r="N70" t="s">
        <v>224</v>
      </c>
      <c r="O70" t="s">
        <v>225</v>
      </c>
      <c r="P70" t="s">
        <v>226</v>
      </c>
      <c r="Q70" t="s">
        <v>227</v>
      </c>
      <c r="R70" t="s">
        <v>228</v>
      </c>
      <c r="S70" t="s">
        <v>229</v>
      </c>
      <c r="T70" t="s">
        <v>230</v>
      </c>
      <c r="U70" t="s">
        <v>231</v>
      </c>
      <c r="V70" t="s">
        <v>232</v>
      </c>
      <c r="W70" t="s">
        <v>233</v>
      </c>
      <c r="X70" t="s">
        <v>234</v>
      </c>
      <c r="Y70" t="s">
        <v>235</v>
      </c>
      <c r="Z70" t="s">
        <v>236</v>
      </c>
      <c r="AA70" t="s">
        <v>237</v>
      </c>
      <c r="AB70" t="s">
        <v>238</v>
      </c>
      <c r="AC70" t="s">
        <v>239</v>
      </c>
      <c r="AD70" t="s">
        <v>240</v>
      </c>
      <c r="AE70" t="s">
        <v>241</v>
      </c>
      <c r="AF70" t="s">
        <v>242</v>
      </c>
      <c r="AG70" t="s">
        <v>243</v>
      </c>
      <c r="AH70" t="s">
        <v>244</v>
      </c>
      <c r="AI70" t="s">
        <v>245</v>
      </c>
      <c r="AJ70" t="s">
        <v>246</v>
      </c>
    </row>
    <row r="71" spans="2:36" hidden="1" x14ac:dyDescent="0.3">
      <c r="B71" s="3" t="s">
        <v>94</v>
      </c>
      <c r="C71" s="3" t="s">
        <v>68</v>
      </c>
      <c r="D71" s="3" t="s">
        <v>11</v>
      </c>
      <c r="E71" s="3" t="s">
        <v>12</v>
      </c>
      <c r="F71" s="12">
        <v>41765</v>
      </c>
      <c r="G71" s="3">
        <v>81</v>
      </c>
      <c r="H71" s="3">
        <v>65</v>
      </c>
      <c r="I71" s="3">
        <v>146</v>
      </c>
      <c r="J71" s="3">
        <v>73</v>
      </c>
      <c r="K71" t="s">
        <v>221</v>
      </c>
      <c r="L71" t="s">
        <v>222</v>
      </c>
      <c r="M71" t="s">
        <v>223</v>
      </c>
      <c r="N71" t="s">
        <v>224</v>
      </c>
      <c r="O71" t="s">
        <v>225</v>
      </c>
      <c r="P71" t="s">
        <v>226</v>
      </c>
      <c r="Q71" t="s">
        <v>227</v>
      </c>
      <c r="R71" t="s">
        <v>228</v>
      </c>
      <c r="S71" t="s">
        <v>229</v>
      </c>
      <c r="T71" t="s">
        <v>230</v>
      </c>
      <c r="U71" t="s">
        <v>231</v>
      </c>
      <c r="V71" t="s">
        <v>232</v>
      </c>
      <c r="W71" t="s">
        <v>233</v>
      </c>
      <c r="X71" t="s">
        <v>234</v>
      </c>
      <c r="Y71" t="s">
        <v>235</v>
      </c>
      <c r="Z71" t="s">
        <v>236</v>
      </c>
      <c r="AA71" t="s">
        <v>237</v>
      </c>
      <c r="AB71" t="s">
        <v>238</v>
      </c>
      <c r="AC71" t="s">
        <v>239</v>
      </c>
      <c r="AD71" t="s">
        <v>240</v>
      </c>
      <c r="AE71" t="s">
        <v>241</v>
      </c>
      <c r="AF71" t="s">
        <v>242</v>
      </c>
      <c r="AG71" t="s">
        <v>243</v>
      </c>
      <c r="AH71" t="s">
        <v>244</v>
      </c>
      <c r="AI71" t="s">
        <v>245</v>
      </c>
      <c r="AJ71" t="s">
        <v>246</v>
      </c>
    </row>
    <row r="72" spans="2:36" x14ac:dyDescent="0.3">
      <c r="B72" s="3" t="s">
        <v>95</v>
      </c>
      <c r="C72" s="3" t="s">
        <v>10</v>
      </c>
      <c r="D72" s="3" t="s">
        <v>23</v>
      </c>
      <c r="E72" s="3" t="s">
        <v>12</v>
      </c>
      <c r="F72" s="12">
        <v>38889</v>
      </c>
      <c r="G72" s="3">
        <v>62</v>
      </c>
      <c r="H72" s="3">
        <v>70</v>
      </c>
      <c r="I72" s="3">
        <v>132</v>
      </c>
      <c r="J72" s="3">
        <v>66</v>
      </c>
      <c r="K72" t="s">
        <v>221</v>
      </c>
      <c r="L72" t="s">
        <v>222</v>
      </c>
      <c r="M72" t="s">
        <v>223</v>
      </c>
      <c r="N72" t="s">
        <v>224</v>
      </c>
      <c r="O72" t="s">
        <v>225</v>
      </c>
      <c r="P72" t="s">
        <v>226</v>
      </c>
      <c r="Q72" t="s">
        <v>227</v>
      </c>
      <c r="R72" t="s">
        <v>228</v>
      </c>
      <c r="S72" t="s">
        <v>229</v>
      </c>
      <c r="T72" t="s">
        <v>230</v>
      </c>
      <c r="U72" t="s">
        <v>231</v>
      </c>
      <c r="V72" t="s">
        <v>232</v>
      </c>
      <c r="W72" t="s">
        <v>233</v>
      </c>
      <c r="X72" t="s">
        <v>234</v>
      </c>
      <c r="Y72" t="s">
        <v>235</v>
      </c>
      <c r="Z72" t="s">
        <v>236</v>
      </c>
      <c r="AA72" t="s">
        <v>237</v>
      </c>
      <c r="AB72" t="s">
        <v>238</v>
      </c>
      <c r="AC72" t="s">
        <v>239</v>
      </c>
      <c r="AD72" t="s">
        <v>240</v>
      </c>
      <c r="AE72" t="s">
        <v>241</v>
      </c>
      <c r="AF72" t="s">
        <v>242</v>
      </c>
      <c r="AG72" t="s">
        <v>243</v>
      </c>
      <c r="AH72" t="s">
        <v>244</v>
      </c>
      <c r="AI72" t="s">
        <v>245</v>
      </c>
      <c r="AJ72" t="s">
        <v>246</v>
      </c>
    </row>
    <row r="73" spans="2:36" hidden="1" x14ac:dyDescent="0.3">
      <c r="B73" s="3" t="s">
        <v>96</v>
      </c>
      <c r="C73" s="3" t="s">
        <v>25</v>
      </c>
      <c r="D73" s="3" t="s">
        <v>11</v>
      </c>
      <c r="E73" s="3" t="s">
        <v>12</v>
      </c>
      <c r="F73" s="12">
        <v>41873</v>
      </c>
      <c r="G73" s="3">
        <v>76</v>
      </c>
      <c r="H73" s="3">
        <v>89</v>
      </c>
      <c r="I73" s="3">
        <v>165</v>
      </c>
      <c r="J73" s="3">
        <v>82.5</v>
      </c>
      <c r="K73" t="s">
        <v>221</v>
      </c>
      <c r="L73" t="s">
        <v>222</v>
      </c>
      <c r="M73" t="s">
        <v>223</v>
      </c>
      <c r="N73" t="s">
        <v>224</v>
      </c>
      <c r="O73" t="s">
        <v>225</v>
      </c>
      <c r="P73" t="s">
        <v>226</v>
      </c>
      <c r="Q73" t="s">
        <v>227</v>
      </c>
      <c r="R73" t="s">
        <v>228</v>
      </c>
      <c r="S73" t="s">
        <v>229</v>
      </c>
      <c r="T73" t="s">
        <v>230</v>
      </c>
      <c r="U73" t="s">
        <v>231</v>
      </c>
      <c r="V73" t="s">
        <v>232</v>
      </c>
      <c r="W73" t="s">
        <v>233</v>
      </c>
      <c r="X73" t="s">
        <v>234</v>
      </c>
      <c r="Y73" t="s">
        <v>235</v>
      </c>
      <c r="Z73" t="s">
        <v>236</v>
      </c>
      <c r="AA73" t="s">
        <v>237</v>
      </c>
      <c r="AB73" t="s">
        <v>238</v>
      </c>
      <c r="AC73" t="s">
        <v>239</v>
      </c>
      <c r="AD73" t="s">
        <v>240</v>
      </c>
      <c r="AE73" t="s">
        <v>241</v>
      </c>
      <c r="AF73" t="s">
        <v>242</v>
      </c>
      <c r="AG73" t="s">
        <v>243</v>
      </c>
      <c r="AH73" t="s">
        <v>244</v>
      </c>
      <c r="AI73" t="s">
        <v>245</v>
      </c>
      <c r="AJ73" t="s">
        <v>246</v>
      </c>
    </row>
    <row r="74" spans="2:36" hidden="1" x14ac:dyDescent="0.3">
      <c r="B74" s="3" t="s">
        <v>97</v>
      </c>
      <c r="C74" s="3" t="s">
        <v>22</v>
      </c>
      <c r="D74" s="3" t="s">
        <v>23</v>
      </c>
      <c r="E74" s="3" t="s">
        <v>12</v>
      </c>
      <c r="F74" s="12">
        <v>40102</v>
      </c>
      <c r="G74" s="3">
        <v>62</v>
      </c>
      <c r="H74" s="3">
        <v>67</v>
      </c>
      <c r="I74" s="3">
        <v>129</v>
      </c>
      <c r="J74" s="3">
        <v>64.5</v>
      </c>
      <c r="K74" t="s">
        <v>221</v>
      </c>
      <c r="L74" t="s">
        <v>222</v>
      </c>
      <c r="M74" t="s">
        <v>223</v>
      </c>
      <c r="N74" t="s">
        <v>224</v>
      </c>
      <c r="O74" t="s">
        <v>225</v>
      </c>
      <c r="P74" t="s">
        <v>226</v>
      </c>
      <c r="Q74" t="s">
        <v>227</v>
      </c>
      <c r="R74" t="s">
        <v>228</v>
      </c>
      <c r="S74" t="s">
        <v>229</v>
      </c>
      <c r="T74" t="s">
        <v>230</v>
      </c>
      <c r="U74" t="s">
        <v>231</v>
      </c>
      <c r="V74" t="s">
        <v>232</v>
      </c>
      <c r="W74" t="s">
        <v>233</v>
      </c>
      <c r="X74" t="s">
        <v>234</v>
      </c>
      <c r="Y74" t="s">
        <v>235</v>
      </c>
      <c r="Z74" t="s">
        <v>236</v>
      </c>
      <c r="AA74" t="s">
        <v>237</v>
      </c>
      <c r="AB74" t="s">
        <v>238</v>
      </c>
      <c r="AC74" t="s">
        <v>239</v>
      </c>
      <c r="AD74" t="s">
        <v>240</v>
      </c>
      <c r="AE74" t="s">
        <v>241</v>
      </c>
      <c r="AF74" t="s">
        <v>242</v>
      </c>
      <c r="AG74" t="s">
        <v>243</v>
      </c>
      <c r="AH74" t="s">
        <v>244</v>
      </c>
      <c r="AI74" t="s">
        <v>245</v>
      </c>
      <c r="AJ74" t="s">
        <v>246</v>
      </c>
    </row>
    <row r="75" spans="2:36" hidden="1" x14ac:dyDescent="0.3">
      <c r="B75" s="3" t="s">
        <v>98</v>
      </c>
      <c r="C75" s="3" t="s">
        <v>22</v>
      </c>
      <c r="D75" s="3" t="s">
        <v>11</v>
      </c>
      <c r="E75" s="3" t="s">
        <v>12</v>
      </c>
      <c r="F75" s="12">
        <v>41914</v>
      </c>
      <c r="G75" s="3">
        <v>99</v>
      </c>
      <c r="H75" s="3">
        <v>90</v>
      </c>
      <c r="I75" s="3">
        <v>189</v>
      </c>
      <c r="J75" s="3">
        <v>94.5</v>
      </c>
      <c r="K75" t="s">
        <v>221</v>
      </c>
      <c r="L75" t="s">
        <v>222</v>
      </c>
      <c r="M75" t="s">
        <v>223</v>
      </c>
      <c r="N75" t="s">
        <v>224</v>
      </c>
      <c r="O75" t="s">
        <v>225</v>
      </c>
      <c r="P75" t="s">
        <v>226</v>
      </c>
      <c r="Q75" t="s">
        <v>227</v>
      </c>
      <c r="R75" t="s">
        <v>228</v>
      </c>
      <c r="S75" t="s">
        <v>229</v>
      </c>
      <c r="T75" t="s">
        <v>230</v>
      </c>
      <c r="U75" t="s">
        <v>231</v>
      </c>
      <c r="V75" t="s">
        <v>232</v>
      </c>
      <c r="W75" t="s">
        <v>233</v>
      </c>
      <c r="X75" t="s">
        <v>234</v>
      </c>
      <c r="Y75" t="s">
        <v>235</v>
      </c>
      <c r="Z75" t="s">
        <v>236</v>
      </c>
      <c r="AA75" t="s">
        <v>237</v>
      </c>
      <c r="AB75" t="s">
        <v>238</v>
      </c>
      <c r="AC75" t="s">
        <v>239</v>
      </c>
      <c r="AD75" t="s">
        <v>240</v>
      </c>
      <c r="AE75" t="s">
        <v>241</v>
      </c>
      <c r="AF75" t="s">
        <v>242</v>
      </c>
      <c r="AG75" t="s">
        <v>243</v>
      </c>
      <c r="AH75" t="s">
        <v>244</v>
      </c>
      <c r="AI75" t="s">
        <v>245</v>
      </c>
      <c r="AJ75" t="s">
        <v>246</v>
      </c>
    </row>
    <row r="76" spans="2:36" hidden="1" x14ac:dyDescent="0.3">
      <c r="B76" s="3" t="s">
        <v>99</v>
      </c>
      <c r="C76" s="3" t="s">
        <v>68</v>
      </c>
      <c r="D76" s="3" t="s">
        <v>35</v>
      </c>
      <c r="E76" s="3" t="s">
        <v>12</v>
      </c>
      <c r="F76" s="12">
        <v>37237</v>
      </c>
      <c r="G76" s="3">
        <v>60</v>
      </c>
      <c r="H76" s="3">
        <v>94</v>
      </c>
      <c r="I76" s="3">
        <v>154</v>
      </c>
      <c r="J76" s="3">
        <v>77</v>
      </c>
      <c r="K76" t="s">
        <v>221</v>
      </c>
      <c r="L76" t="s">
        <v>222</v>
      </c>
      <c r="M76" t="s">
        <v>223</v>
      </c>
      <c r="N76" t="s">
        <v>224</v>
      </c>
      <c r="O76" t="s">
        <v>225</v>
      </c>
      <c r="P76" t="s">
        <v>226</v>
      </c>
      <c r="Q76" t="s">
        <v>227</v>
      </c>
      <c r="R76" t="s">
        <v>228</v>
      </c>
      <c r="S76" t="s">
        <v>229</v>
      </c>
      <c r="T76" t="s">
        <v>230</v>
      </c>
      <c r="U76" t="s">
        <v>231</v>
      </c>
      <c r="V76" t="s">
        <v>232</v>
      </c>
      <c r="W76" t="s">
        <v>233</v>
      </c>
      <c r="X76" t="s">
        <v>234</v>
      </c>
      <c r="Y76" t="s">
        <v>235</v>
      </c>
      <c r="Z76" t="s">
        <v>236</v>
      </c>
      <c r="AA76" t="s">
        <v>237</v>
      </c>
      <c r="AB76" t="s">
        <v>238</v>
      </c>
      <c r="AC76" t="s">
        <v>239</v>
      </c>
      <c r="AD76" t="s">
        <v>240</v>
      </c>
      <c r="AE76" t="s">
        <v>241</v>
      </c>
      <c r="AF76" t="s">
        <v>242</v>
      </c>
      <c r="AG76" t="s">
        <v>243</v>
      </c>
      <c r="AH76" t="s">
        <v>244</v>
      </c>
      <c r="AI76" t="s">
        <v>245</v>
      </c>
      <c r="AJ76" t="s">
        <v>246</v>
      </c>
    </row>
    <row r="77" spans="2:36" hidden="1" x14ac:dyDescent="0.3">
      <c r="B77" s="3" t="s">
        <v>100</v>
      </c>
      <c r="C77" s="3" t="s">
        <v>25</v>
      </c>
      <c r="D77" s="3" t="s">
        <v>11</v>
      </c>
      <c r="E77" s="3" t="s">
        <v>12</v>
      </c>
      <c r="F77" s="12">
        <v>42951</v>
      </c>
      <c r="G77" s="3">
        <v>97</v>
      </c>
      <c r="H77" s="3">
        <v>88</v>
      </c>
      <c r="I77" s="3">
        <v>185</v>
      </c>
      <c r="J77" s="3">
        <v>92.5</v>
      </c>
      <c r="K77" t="s">
        <v>221</v>
      </c>
      <c r="L77" t="s">
        <v>222</v>
      </c>
      <c r="M77" t="s">
        <v>223</v>
      </c>
      <c r="N77" t="s">
        <v>224</v>
      </c>
      <c r="O77" t="s">
        <v>225</v>
      </c>
      <c r="P77" t="s">
        <v>226</v>
      </c>
      <c r="Q77" t="s">
        <v>227</v>
      </c>
      <c r="R77" t="s">
        <v>228</v>
      </c>
      <c r="S77" t="s">
        <v>229</v>
      </c>
      <c r="T77" t="s">
        <v>230</v>
      </c>
      <c r="U77" t="s">
        <v>231</v>
      </c>
      <c r="V77" t="s">
        <v>232</v>
      </c>
      <c r="W77" t="s">
        <v>233</v>
      </c>
      <c r="X77" t="s">
        <v>234</v>
      </c>
      <c r="Y77" t="s">
        <v>235</v>
      </c>
      <c r="Z77" t="s">
        <v>236</v>
      </c>
      <c r="AA77" t="s">
        <v>237</v>
      </c>
      <c r="AB77" t="s">
        <v>238</v>
      </c>
      <c r="AC77" t="s">
        <v>239</v>
      </c>
      <c r="AD77" t="s">
        <v>240</v>
      </c>
      <c r="AE77" t="s">
        <v>241</v>
      </c>
      <c r="AF77" t="s">
        <v>242</v>
      </c>
      <c r="AG77" t="s">
        <v>243</v>
      </c>
      <c r="AH77" t="s">
        <v>244</v>
      </c>
      <c r="AI77" t="s">
        <v>245</v>
      </c>
      <c r="AJ77" t="s">
        <v>246</v>
      </c>
    </row>
    <row r="78" spans="2:36" hidden="1" x14ac:dyDescent="0.3">
      <c r="B78" s="3" t="s">
        <v>101</v>
      </c>
      <c r="C78" s="3" t="s">
        <v>29</v>
      </c>
      <c r="D78" s="3" t="s">
        <v>11</v>
      </c>
      <c r="E78" s="3" t="s">
        <v>15</v>
      </c>
      <c r="F78" s="12">
        <v>42352</v>
      </c>
      <c r="G78" s="3">
        <v>96</v>
      </c>
      <c r="H78" s="3">
        <v>97</v>
      </c>
      <c r="I78" s="3">
        <v>193</v>
      </c>
      <c r="J78" s="3">
        <v>96.5</v>
      </c>
      <c r="K78" t="s">
        <v>221</v>
      </c>
      <c r="L78" t="s">
        <v>222</v>
      </c>
      <c r="M78" t="s">
        <v>223</v>
      </c>
      <c r="N78" t="s">
        <v>224</v>
      </c>
      <c r="O78" t="s">
        <v>225</v>
      </c>
      <c r="P78" t="s">
        <v>226</v>
      </c>
      <c r="Q78" t="s">
        <v>227</v>
      </c>
      <c r="R78" t="s">
        <v>228</v>
      </c>
      <c r="S78" t="s">
        <v>229</v>
      </c>
      <c r="T78" t="s">
        <v>230</v>
      </c>
      <c r="U78" t="s">
        <v>231</v>
      </c>
      <c r="V78" t="s">
        <v>232</v>
      </c>
      <c r="W78" t="s">
        <v>233</v>
      </c>
      <c r="X78" t="s">
        <v>234</v>
      </c>
      <c r="Y78" t="s">
        <v>235</v>
      </c>
      <c r="Z78" t="s">
        <v>236</v>
      </c>
      <c r="AA78" t="s">
        <v>237</v>
      </c>
      <c r="AB78" t="s">
        <v>238</v>
      </c>
      <c r="AC78" t="s">
        <v>239</v>
      </c>
      <c r="AD78" t="s">
        <v>240</v>
      </c>
      <c r="AE78" t="s">
        <v>241</v>
      </c>
      <c r="AF78" t="s">
        <v>242</v>
      </c>
      <c r="AG78" t="s">
        <v>243</v>
      </c>
      <c r="AH78" t="s">
        <v>244</v>
      </c>
      <c r="AI78" t="s">
        <v>245</v>
      </c>
      <c r="AJ78" t="s">
        <v>246</v>
      </c>
    </row>
    <row r="79" spans="2:36" hidden="1" x14ac:dyDescent="0.3">
      <c r="B79" s="3" t="s">
        <v>98</v>
      </c>
      <c r="C79" s="3" t="s">
        <v>22</v>
      </c>
      <c r="D79" s="3" t="s">
        <v>11</v>
      </c>
      <c r="E79" s="3" t="s">
        <v>12</v>
      </c>
      <c r="F79" s="12">
        <v>41914</v>
      </c>
      <c r="G79" s="3">
        <v>99</v>
      </c>
      <c r="H79" s="3">
        <v>90</v>
      </c>
      <c r="I79" s="3">
        <v>189</v>
      </c>
      <c r="J79" s="3">
        <v>94.5</v>
      </c>
      <c r="K79" t="s">
        <v>221</v>
      </c>
      <c r="L79" t="s">
        <v>222</v>
      </c>
      <c r="M79" t="s">
        <v>223</v>
      </c>
      <c r="N79" t="s">
        <v>224</v>
      </c>
      <c r="O79" t="s">
        <v>225</v>
      </c>
      <c r="P79" t="s">
        <v>226</v>
      </c>
      <c r="Q79" t="s">
        <v>227</v>
      </c>
      <c r="R79" t="s">
        <v>228</v>
      </c>
      <c r="S79" t="s">
        <v>229</v>
      </c>
      <c r="T79" t="s">
        <v>230</v>
      </c>
      <c r="U79" t="s">
        <v>231</v>
      </c>
      <c r="V79" t="s">
        <v>232</v>
      </c>
      <c r="W79" t="s">
        <v>233</v>
      </c>
      <c r="X79" t="s">
        <v>234</v>
      </c>
      <c r="Y79" t="s">
        <v>235</v>
      </c>
      <c r="Z79" t="s">
        <v>236</v>
      </c>
      <c r="AA79" t="s">
        <v>237</v>
      </c>
      <c r="AB79" t="s">
        <v>238</v>
      </c>
      <c r="AC79" t="s">
        <v>239</v>
      </c>
      <c r="AD79" t="s">
        <v>240</v>
      </c>
      <c r="AE79" t="s">
        <v>241</v>
      </c>
      <c r="AF79" t="s">
        <v>242</v>
      </c>
      <c r="AG79" t="s">
        <v>243</v>
      </c>
      <c r="AH79" t="s">
        <v>244</v>
      </c>
      <c r="AI79" t="s">
        <v>245</v>
      </c>
      <c r="AJ79" t="s">
        <v>246</v>
      </c>
    </row>
    <row r="80" spans="2:36" hidden="1" x14ac:dyDescent="0.3">
      <c r="B80" s="3" t="s">
        <v>99</v>
      </c>
      <c r="C80" s="3" t="s">
        <v>68</v>
      </c>
      <c r="D80" s="3" t="s">
        <v>35</v>
      </c>
      <c r="E80" s="3" t="s">
        <v>12</v>
      </c>
      <c r="F80" s="12">
        <v>37237</v>
      </c>
      <c r="G80" s="3">
        <v>60</v>
      </c>
      <c r="H80" s="3">
        <v>94</v>
      </c>
      <c r="I80" s="3">
        <v>154</v>
      </c>
      <c r="J80" s="3">
        <v>77</v>
      </c>
      <c r="K80" t="s">
        <v>221</v>
      </c>
      <c r="L80" t="s">
        <v>222</v>
      </c>
      <c r="M80" t="s">
        <v>223</v>
      </c>
      <c r="N80" t="s">
        <v>224</v>
      </c>
      <c r="O80" t="s">
        <v>225</v>
      </c>
      <c r="P80" t="s">
        <v>226</v>
      </c>
      <c r="Q80" t="s">
        <v>227</v>
      </c>
      <c r="R80" t="s">
        <v>228</v>
      </c>
      <c r="S80" t="s">
        <v>229</v>
      </c>
      <c r="T80" t="s">
        <v>230</v>
      </c>
      <c r="U80" t="s">
        <v>231</v>
      </c>
      <c r="V80" t="s">
        <v>232</v>
      </c>
      <c r="W80" t="s">
        <v>233</v>
      </c>
      <c r="X80" t="s">
        <v>234</v>
      </c>
      <c r="Y80" t="s">
        <v>235</v>
      </c>
      <c r="Z80" t="s">
        <v>236</v>
      </c>
      <c r="AA80" t="s">
        <v>237</v>
      </c>
      <c r="AB80" t="s">
        <v>238</v>
      </c>
      <c r="AC80" t="s">
        <v>239</v>
      </c>
      <c r="AD80" t="s">
        <v>240</v>
      </c>
      <c r="AE80" t="s">
        <v>241</v>
      </c>
      <c r="AF80" t="s">
        <v>242</v>
      </c>
      <c r="AG80" t="s">
        <v>243</v>
      </c>
      <c r="AH80" t="s">
        <v>244</v>
      </c>
      <c r="AI80" t="s">
        <v>245</v>
      </c>
      <c r="AJ80" t="s">
        <v>246</v>
      </c>
    </row>
    <row r="81" spans="2:36" hidden="1" x14ac:dyDescent="0.3">
      <c r="B81" s="3" t="s">
        <v>100</v>
      </c>
      <c r="C81" s="3" t="s">
        <v>25</v>
      </c>
      <c r="D81" s="3" t="s">
        <v>11</v>
      </c>
      <c r="E81" s="3" t="s">
        <v>12</v>
      </c>
      <c r="F81" s="12">
        <v>42951</v>
      </c>
      <c r="G81" s="3">
        <v>72</v>
      </c>
      <c r="H81" s="3">
        <v>88</v>
      </c>
      <c r="I81" s="3">
        <v>160</v>
      </c>
      <c r="J81" s="3">
        <v>80</v>
      </c>
      <c r="K81" t="s">
        <v>221</v>
      </c>
      <c r="L81" t="s">
        <v>222</v>
      </c>
      <c r="M81" t="s">
        <v>223</v>
      </c>
      <c r="N81" t="s">
        <v>224</v>
      </c>
      <c r="O81" t="s">
        <v>225</v>
      </c>
      <c r="P81" t="s">
        <v>226</v>
      </c>
      <c r="Q81" t="s">
        <v>227</v>
      </c>
      <c r="R81" t="s">
        <v>228</v>
      </c>
      <c r="S81" t="s">
        <v>229</v>
      </c>
      <c r="T81" t="s">
        <v>230</v>
      </c>
      <c r="U81" t="s">
        <v>231</v>
      </c>
      <c r="V81" t="s">
        <v>232</v>
      </c>
      <c r="W81" t="s">
        <v>233</v>
      </c>
      <c r="X81" t="s">
        <v>234</v>
      </c>
      <c r="Y81" t="s">
        <v>235</v>
      </c>
      <c r="Z81" t="s">
        <v>236</v>
      </c>
      <c r="AA81" t="s">
        <v>237</v>
      </c>
      <c r="AB81" t="s">
        <v>238</v>
      </c>
      <c r="AC81" t="s">
        <v>239</v>
      </c>
      <c r="AD81" t="s">
        <v>240</v>
      </c>
      <c r="AE81" t="s">
        <v>241</v>
      </c>
      <c r="AF81" t="s">
        <v>242</v>
      </c>
      <c r="AG81" t="s">
        <v>243</v>
      </c>
      <c r="AH81" t="s">
        <v>244</v>
      </c>
      <c r="AI81" t="s">
        <v>245</v>
      </c>
      <c r="AJ81" t="s">
        <v>246</v>
      </c>
    </row>
    <row r="82" spans="2:36" hidden="1" x14ac:dyDescent="0.3">
      <c r="B82" s="4" t="s">
        <v>101</v>
      </c>
      <c r="C82" s="4" t="s">
        <v>29</v>
      </c>
      <c r="D82" s="4" t="s">
        <v>11</v>
      </c>
      <c r="E82" s="4" t="s">
        <v>15</v>
      </c>
      <c r="F82" s="13">
        <v>42352</v>
      </c>
      <c r="G82" s="4">
        <v>80</v>
      </c>
      <c r="H82" s="4">
        <v>97</v>
      </c>
      <c r="I82" s="4">
        <v>177</v>
      </c>
      <c r="J82" s="4">
        <v>88.5</v>
      </c>
      <c r="K82" t="s">
        <v>221</v>
      </c>
      <c r="L82" t="s">
        <v>222</v>
      </c>
      <c r="M82" t="s">
        <v>223</v>
      </c>
      <c r="N82" t="s">
        <v>224</v>
      </c>
      <c r="O82" t="s">
        <v>225</v>
      </c>
      <c r="P82" t="s">
        <v>226</v>
      </c>
      <c r="Q82" t="s">
        <v>227</v>
      </c>
      <c r="R82" t="s">
        <v>228</v>
      </c>
      <c r="S82" t="s">
        <v>229</v>
      </c>
      <c r="T82" t="s">
        <v>230</v>
      </c>
      <c r="U82" t="s">
        <v>231</v>
      </c>
      <c r="V82" t="s">
        <v>232</v>
      </c>
      <c r="W82" t="s">
        <v>233</v>
      </c>
      <c r="X82" t="s">
        <v>234</v>
      </c>
      <c r="Y82" t="s">
        <v>235</v>
      </c>
      <c r="Z82" t="s">
        <v>236</v>
      </c>
      <c r="AA82" t="s">
        <v>237</v>
      </c>
      <c r="AB82" t="s">
        <v>238</v>
      </c>
      <c r="AC82" t="s">
        <v>239</v>
      </c>
      <c r="AD82" t="s">
        <v>240</v>
      </c>
      <c r="AE82" t="s">
        <v>241</v>
      </c>
      <c r="AF82" t="s">
        <v>242</v>
      </c>
      <c r="AG82" t="s">
        <v>243</v>
      </c>
      <c r="AH82" t="s">
        <v>244</v>
      </c>
      <c r="AI82" t="s">
        <v>245</v>
      </c>
      <c r="AJ82" t="s">
        <v>246</v>
      </c>
    </row>
    <row r="85" spans="2:36" x14ac:dyDescent="0.3">
      <c r="B85" s="5" t="s">
        <v>0</v>
      </c>
      <c r="C85" s="6" t="s">
        <v>1</v>
      </c>
      <c r="D85" s="7" t="s">
        <v>203</v>
      </c>
      <c r="E85" s="7" t="s">
        <v>204</v>
      </c>
      <c r="F85" s="7" t="s">
        <v>205</v>
      </c>
    </row>
  </sheetData>
  <autoFilter ref="B2:AJ82" xr:uid="{75835E07-F890-494E-BA88-61845D70BDD4}">
    <filterColumn colId="1">
      <filters>
        <filter val="구매팀"/>
      </filters>
    </filterColumn>
  </autoFilter>
  <phoneticPr fontId="2" type="noConversion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464AEF-05D1-4B84-8C37-3A5E1460BD09}">
  <sheetPr codeName="Sheet12">
    <tabColor rgb="FF0070C0"/>
  </sheetPr>
  <dimension ref="B2:I12"/>
  <sheetViews>
    <sheetView workbookViewId="0">
      <selection activeCell="D28" sqref="D28"/>
    </sheetView>
  </sheetViews>
  <sheetFormatPr defaultRowHeight="16.5" x14ac:dyDescent="0.3"/>
  <cols>
    <col min="2" max="2" width="11.875" bestFit="1" customWidth="1"/>
    <col min="3" max="3" width="9.125" bestFit="1" customWidth="1"/>
    <col min="4" max="4" width="7.5" bestFit="1" customWidth="1"/>
    <col min="5" max="5" width="11.25" bestFit="1" customWidth="1"/>
    <col min="6" max="6" width="7.5" bestFit="1" customWidth="1"/>
    <col min="7" max="7" width="7.375" bestFit="1" customWidth="1"/>
    <col min="8" max="8" width="6.25" bestFit="1" customWidth="1"/>
    <col min="9" max="9" width="6.125" bestFit="1" customWidth="1"/>
  </cols>
  <sheetData>
    <row r="2" spans="2:9" x14ac:dyDescent="0.3">
      <c r="B2" s="43" t="s">
        <v>1</v>
      </c>
      <c r="C2" t="s">
        <v>10</v>
      </c>
    </row>
    <row r="4" spans="2:9" x14ac:dyDescent="0.3">
      <c r="B4" s="43" t="s">
        <v>0</v>
      </c>
      <c r="C4" s="43" t="s">
        <v>2</v>
      </c>
      <c r="D4" s="43" t="s">
        <v>3</v>
      </c>
      <c r="E4" s="43" t="s">
        <v>4</v>
      </c>
      <c r="F4" t="s">
        <v>189</v>
      </c>
      <c r="G4" t="s">
        <v>190</v>
      </c>
      <c r="H4" t="s">
        <v>191</v>
      </c>
      <c r="I4" t="s">
        <v>192</v>
      </c>
    </row>
    <row r="5" spans="2:9" x14ac:dyDescent="0.3">
      <c r="B5" t="s">
        <v>9</v>
      </c>
      <c r="C5" t="s">
        <v>11</v>
      </c>
      <c r="D5" t="s">
        <v>12</v>
      </c>
      <c r="E5" s="14">
        <v>42830</v>
      </c>
      <c r="F5" s="44">
        <v>97</v>
      </c>
      <c r="G5" s="44">
        <v>70</v>
      </c>
      <c r="H5" s="44">
        <v>167</v>
      </c>
      <c r="I5" s="44">
        <v>83.5</v>
      </c>
    </row>
    <row r="6" spans="2:9" x14ac:dyDescent="0.3">
      <c r="B6" t="s">
        <v>33</v>
      </c>
      <c r="C6" t="s">
        <v>20</v>
      </c>
      <c r="D6" t="s">
        <v>15</v>
      </c>
      <c r="E6" s="14">
        <v>35786</v>
      </c>
      <c r="F6" s="44">
        <v>66</v>
      </c>
      <c r="G6" s="44">
        <v>91</v>
      </c>
      <c r="H6" s="44">
        <v>157</v>
      </c>
      <c r="I6" s="44">
        <v>78.5</v>
      </c>
    </row>
    <row r="7" spans="2:9" x14ac:dyDescent="0.3">
      <c r="B7" t="s">
        <v>40</v>
      </c>
      <c r="C7" t="s">
        <v>11</v>
      </c>
      <c r="D7" t="s">
        <v>15</v>
      </c>
      <c r="E7" s="14">
        <v>40869</v>
      </c>
      <c r="F7" s="44">
        <v>67</v>
      </c>
      <c r="G7" s="44">
        <v>67</v>
      </c>
      <c r="H7" s="44">
        <v>134</v>
      </c>
      <c r="I7" s="44">
        <v>67</v>
      </c>
    </row>
    <row r="8" spans="2:9" x14ac:dyDescent="0.3">
      <c r="B8" t="s">
        <v>43</v>
      </c>
      <c r="C8" t="s">
        <v>31</v>
      </c>
      <c r="D8" t="s">
        <v>12</v>
      </c>
      <c r="E8" s="14">
        <v>35613</v>
      </c>
      <c r="F8" s="44">
        <v>72</v>
      </c>
      <c r="G8" s="44">
        <v>91</v>
      </c>
      <c r="H8" s="44">
        <v>163</v>
      </c>
      <c r="I8" s="44">
        <v>81.5</v>
      </c>
    </row>
    <row r="9" spans="2:9" x14ac:dyDescent="0.3">
      <c r="B9" t="s">
        <v>62</v>
      </c>
      <c r="C9" t="s">
        <v>35</v>
      </c>
      <c r="D9" t="s">
        <v>12</v>
      </c>
      <c r="E9" s="14">
        <v>38660</v>
      </c>
      <c r="F9" s="44">
        <v>88</v>
      </c>
      <c r="G9" s="44">
        <v>74</v>
      </c>
      <c r="H9" s="44">
        <v>162</v>
      </c>
      <c r="I9" s="44">
        <v>81</v>
      </c>
    </row>
    <row r="10" spans="2:9" x14ac:dyDescent="0.3">
      <c r="B10" t="s">
        <v>81</v>
      </c>
      <c r="C10" t="s">
        <v>23</v>
      </c>
      <c r="D10" t="s">
        <v>12</v>
      </c>
      <c r="E10" s="14">
        <v>38912</v>
      </c>
      <c r="F10" s="44">
        <v>85</v>
      </c>
      <c r="G10" s="44">
        <v>94</v>
      </c>
      <c r="H10" s="44">
        <v>179</v>
      </c>
      <c r="I10" s="44">
        <v>89.5</v>
      </c>
    </row>
    <row r="11" spans="2:9" x14ac:dyDescent="0.3">
      <c r="B11" t="s">
        <v>95</v>
      </c>
      <c r="C11" t="s">
        <v>23</v>
      </c>
      <c r="D11" t="s">
        <v>12</v>
      </c>
      <c r="E11" s="14">
        <v>38889</v>
      </c>
      <c r="F11" s="44">
        <v>62</v>
      </c>
      <c r="G11" s="44">
        <v>70</v>
      </c>
      <c r="H11" s="44">
        <v>132</v>
      </c>
      <c r="I11" s="44">
        <v>66</v>
      </c>
    </row>
    <row r="12" spans="2:9" x14ac:dyDescent="0.3">
      <c r="B12" t="s">
        <v>188</v>
      </c>
      <c r="F12" s="44">
        <v>537</v>
      </c>
      <c r="G12" s="44">
        <v>557</v>
      </c>
      <c r="H12" s="44">
        <v>1094</v>
      </c>
      <c r="I12" s="44">
        <v>547</v>
      </c>
    </row>
  </sheetData>
  <phoneticPr fontId="2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CD437C-22FF-459D-BA87-B80A1AAA072D}">
  <sheetPr codeName="Sheet2">
    <tabColor rgb="FF0070C0"/>
  </sheetPr>
  <dimension ref="B1:U84"/>
  <sheetViews>
    <sheetView zoomScale="115" zoomScaleNormal="115" workbookViewId="0">
      <selection activeCell="B2" sqref="B2:J2"/>
    </sheetView>
  </sheetViews>
  <sheetFormatPr defaultRowHeight="16.5" x14ac:dyDescent="0.3"/>
  <cols>
    <col min="1" max="1" width="1.625" style="2" customWidth="1"/>
    <col min="2" max="2" width="9" style="2"/>
    <col min="3" max="3" width="11" style="2" bestFit="1" customWidth="1"/>
    <col min="4" max="5" width="5.5" style="2" bestFit="1" customWidth="1"/>
    <col min="6" max="6" width="11.125" style="17" bestFit="1" customWidth="1"/>
    <col min="7" max="7" width="6.875" style="2" bestFit="1" customWidth="1"/>
    <col min="8" max="8" width="6.75" style="2" bestFit="1" customWidth="1"/>
    <col min="9" max="10" width="5.5" style="2" bestFit="1" customWidth="1"/>
    <col min="11" max="11" width="2.375" style="2" customWidth="1"/>
    <col min="12" max="12" width="9" style="2"/>
    <col min="13" max="13" width="11.625" style="2" customWidth="1"/>
    <col min="14" max="16" width="9" style="2"/>
    <col min="17" max="17" width="10.25" style="2" customWidth="1"/>
    <col min="18" max="16384" width="9" style="2"/>
  </cols>
  <sheetData>
    <row r="1" spans="2:21" ht="7.5" customHeight="1" thickBot="1" x14ac:dyDescent="0.35"/>
    <row r="2" spans="2:21" ht="30" customHeight="1" thickTop="1" thickBot="1" x14ac:dyDescent="0.35">
      <c r="B2" s="80" t="s">
        <v>102</v>
      </c>
      <c r="C2" s="81"/>
      <c r="D2" s="81"/>
      <c r="E2" s="81"/>
      <c r="F2" s="81"/>
      <c r="G2" s="81"/>
      <c r="H2" s="81"/>
      <c r="I2" s="81"/>
      <c r="J2" s="81"/>
      <c r="L2" s="10" t="s">
        <v>1</v>
      </c>
      <c r="M2" s="11" t="s">
        <v>22</v>
      </c>
    </row>
    <row r="3" spans="2:21" ht="7.5" customHeight="1" thickTop="1" x14ac:dyDescent="0.3"/>
    <row r="4" spans="2:21" x14ac:dyDescent="0.3">
      <c r="B4" s="5" t="s">
        <v>0</v>
      </c>
      <c r="C4" s="6" t="s">
        <v>1</v>
      </c>
      <c r="D4" s="6" t="s">
        <v>2</v>
      </c>
      <c r="E4" s="6" t="s">
        <v>3</v>
      </c>
      <c r="F4" s="15" t="s">
        <v>4</v>
      </c>
      <c r="G4" s="6" t="s">
        <v>5</v>
      </c>
      <c r="H4" s="6" t="s">
        <v>6</v>
      </c>
      <c r="I4" s="6" t="s">
        <v>7</v>
      </c>
      <c r="J4" s="7" t="s">
        <v>8</v>
      </c>
      <c r="L4" s="5" t="s">
        <v>0</v>
      </c>
      <c r="M4" s="6" t="s">
        <v>5</v>
      </c>
      <c r="N4" s="6" t="s">
        <v>6</v>
      </c>
      <c r="O4" s="6" t="s">
        <v>7</v>
      </c>
      <c r="P4" s="7" t="s">
        <v>8</v>
      </c>
    </row>
    <row r="5" spans="2:21" x14ac:dyDescent="0.3">
      <c r="B5" s="3" t="s">
        <v>9</v>
      </c>
      <c r="C5" s="3" t="s">
        <v>10</v>
      </c>
      <c r="D5" s="3" t="s">
        <v>11</v>
      </c>
      <c r="E5" s="3" t="s">
        <v>12</v>
      </c>
      <c r="F5" s="12">
        <v>42830</v>
      </c>
      <c r="G5" s="3">
        <v>97</v>
      </c>
      <c r="H5" s="3">
        <v>70</v>
      </c>
      <c r="I5" s="3">
        <v>167</v>
      </c>
      <c r="J5" s="3">
        <v>83.5</v>
      </c>
      <c r="L5" t="str" cm="1">
        <f t="array" ref="L5:L15">_xlfn._xlws.FILTER(B:B,C:C=M2)</f>
        <v>권율</v>
      </c>
      <c r="M5" cm="1">
        <f t="array" ref="M5:P15">_xlfn._xlws.FILTER(G:J,C:C=M2)</f>
        <v>77</v>
      </c>
      <c r="N5">
        <v>70</v>
      </c>
      <c r="O5">
        <v>147</v>
      </c>
      <c r="P5">
        <v>73.5</v>
      </c>
      <c r="Q5"/>
      <c r="R5"/>
      <c r="S5"/>
      <c r="T5"/>
      <c r="U5"/>
    </row>
    <row r="6" spans="2:21" x14ac:dyDescent="0.3">
      <c r="B6" s="3" t="s">
        <v>13</v>
      </c>
      <c r="C6" s="3" t="s">
        <v>14</v>
      </c>
      <c r="D6" s="3" t="s">
        <v>11</v>
      </c>
      <c r="E6" s="3" t="s">
        <v>15</v>
      </c>
      <c r="F6" s="12">
        <v>40563</v>
      </c>
      <c r="G6" s="3">
        <v>93</v>
      </c>
      <c r="H6" s="3">
        <v>79</v>
      </c>
      <c r="I6" s="3">
        <v>172</v>
      </c>
      <c r="J6" s="3">
        <v>86</v>
      </c>
      <c r="L6" t="str">
        <v>논개</v>
      </c>
      <c r="M6">
        <v>74</v>
      </c>
      <c r="N6">
        <v>63</v>
      </c>
      <c r="O6">
        <v>137</v>
      </c>
      <c r="P6">
        <v>68.5</v>
      </c>
      <c r="Q6"/>
      <c r="R6"/>
      <c r="S6"/>
      <c r="T6"/>
      <c r="U6"/>
    </row>
    <row r="7" spans="2:21" x14ac:dyDescent="0.3">
      <c r="B7" s="3" t="s">
        <v>16</v>
      </c>
      <c r="C7" s="3" t="s">
        <v>17</v>
      </c>
      <c r="D7" s="3" t="s">
        <v>11</v>
      </c>
      <c r="E7" s="3" t="s">
        <v>12</v>
      </c>
      <c r="F7" s="12">
        <v>40809</v>
      </c>
      <c r="G7" s="3">
        <v>63</v>
      </c>
      <c r="H7" s="3">
        <v>75</v>
      </c>
      <c r="I7" s="3">
        <v>138</v>
      </c>
      <c r="J7" s="3">
        <v>69</v>
      </c>
      <c r="L7" t="str">
        <v>박문수</v>
      </c>
      <c r="M7">
        <v>92</v>
      </c>
      <c r="N7">
        <v>99</v>
      </c>
      <c r="O7">
        <v>191</v>
      </c>
      <c r="P7">
        <v>95.5</v>
      </c>
      <c r="Q7"/>
      <c r="R7"/>
      <c r="S7"/>
      <c r="T7"/>
      <c r="U7"/>
    </row>
    <row r="8" spans="2:21" x14ac:dyDescent="0.3">
      <c r="B8" s="3" t="s">
        <v>18</v>
      </c>
      <c r="C8" s="3" t="s">
        <v>14</v>
      </c>
      <c r="D8" s="3" t="s">
        <v>11</v>
      </c>
      <c r="E8" s="3" t="s">
        <v>15</v>
      </c>
      <c r="F8" s="12">
        <v>42269</v>
      </c>
      <c r="G8" s="3">
        <v>89</v>
      </c>
      <c r="H8" s="3">
        <v>82</v>
      </c>
      <c r="I8" s="3">
        <v>171</v>
      </c>
      <c r="J8" s="3">
        <v>85.5</v>
      </c>
      <c r="L8" t="str">
        <v>사육신</v>
      </c>
      <c r="M8">
        <v>92</v>
      </c>
      <c r="N8">
        <v>91</v>
      </c>
      <c r="O8">
        <v>183</v>
      </c>
      <c r="P8">
        <v>91.5</v>
      </c>
      <c r="Q8"/>
      <c r="R8"/>
      <c r="S8"/>
      <c r="T8"/>
      <c r="U8"/>
    </row>
    <row r="9" spans="2:21" x14ac:dyDescent="0.3">
      <c r="B9" s="3" t="s">
        <v>19</v>
      </c>
      <c r="C9" s="3" t="s">
        <v>14</v>
      </c>
      <c r="D9" s="3" t="s">
        <v>20</v>
      </c>
      <c r="E9" s="3" t="s">
        <v>12</v>
      </c>
      <c r="F9" s="12">
        <v>35622</v>
      </c>
      <c r="G9" s="3">
        <v>93</v>
      </c>
      <c r="H9" s="3">
        <v>84</v>
      </c>
      <c r="I9" s="3">
        <v>177</v>
      </c>
      <c r="J9" s="3">
        <v>88.5</v>
      </c>
      <c r="L9" t="str">
        <v>삼학사</v>
      </c>
      <c r="M9">
        <v>78</v>
      </c>
      <c r="N9">
        <v>78</v>
      </c>
      <c r="O9">
        <v>156</v>
      </c>
      <c r="P9">
        <v>78</v>
      </c>
      <c r="Q9"/>
      <c r="R9"/>
      <c r="S9"/>
      <c r="T9"/>
      <c r="U9"/>
    </row>
    <row r="10" spans="2:21" x14ac:dyDescent="0.3">
      <c r="B10" s="3" t="s">
        <v>21</v>
      </c>
      <c r="C10" s="3" t="s">
        <v>22</v>
      </c>
      <c r="D10" s="3" t="s">
        <v>23</v>
      </c>
      <c r="E10" s="3" t="s">
        <v>12</v>
      </c>
      <c r="F10" s="12">
        <v>39708</v>
      </c>
      <c r="G10" s="3">
        <v>77</v>
      </c>
      <c r="H10" s="3">
        <v>70</v>
      </c>
      <c r="I10" s="3">
        <v>147</v>
      </c>
      <c r="J10" s="3">
        <v>73.5</v>
      </c>
      <c r="L10" t="str">
        <v>생육신</v>
      </c>
      <c r="M10">
        <v>81</v>
      </c>
      <c r="N10">
        <v>78</v>
      </c>
      <c r="O10">
        <v>159</v>
      </c>
      <c r="P10">
        <v>79.5</v>
      </c>
      <c r="Q10"/>
      <c r="R10"/>
      <c r="S10"/>
      <c r="T10"/>
      <c r="U10"/>
    </row>
    <row r="11" spans="2:21" x14ac:dyDescent="0.3">
      <c r="B11" s="3" t="s">
        <v>24</v>
      </c>
      <c r="C11" s="3" t="s">
        <v>25</v>
      </c>
      <c r="D11" s="3" t="s">
        <v>11</v>
      </c>
      <c r="E11" s="3" t="s">
        <v>12</v>
      </c>
      <c r="F11" s="12">
        <v>42332</v>
      </c>
      <c r="G11" s="3">
        <v>82</v>
      </c>
      <c r="H11" s="3">
        <v>70</v>
      </c>
      <c r="I11" s="3">
        <v>152</v>
      </c>
      <c r="J11" s="3">
        <v>76</v>
      </c>
      <c r="L11" t="str">
        <v>임꺽정</v>
      </c>
      <c r="M11">
        <v>73</v>
      </c>
      <c r="N11">
        <v>60</v>
      </c>
      <c r="O11">
        <v>133</v>
      </c>
      <c r="P11">
        <v>66.5</v>
      </c>
      <c r="Q11"/>
      <c r="R11"/>
      <c r="S11"/>
      <c r="T11"/>
      <c r="U11"/>
    </row>
    <row r="12" spans="2:21" x14ac:dyDescent="0.3">
      <c r="B12" s="3" t="s">
        <v>26</v>
      </c>
      <c r="C12" s="3" t="s">
        <v>27</v>
      </c>
      <c r="D12" s="3" t="s">
        <v>11</v>
      </c>
      <c r="E12" s="3" t="s">
        <v>15</v>
      </c>
      <c r="F12" s="12">
        <v>42009</v>
      </c>
      <c r="G12" s="3">
        <v>87</v>
      </c>
      <c r="H12" s="3">
        <v>65</v>
      </c>
      <c r="I12" s="3">
        <v>152</v>
      </c>
      <c r="J12" s="3">
        <v>76</v>
      </c>
      <c r="L12" t="str">
        <v>태조</v>
      </c>
      <c r="M12">
        <v>97</v>
      </c>
      <c r="N12">
        <v>94</v>
      </c>
      <c r="O12">
        <v>191</v>
      </c>
      <c r="P12">
        <v>95.5</v>
      </c>
      <c r="Q12"/>
      <c r="R12"/>
      <c r="S12"/>
      <c r="T12"/>
      <c r="U12"/>
    </row>
    <row r="13" spans="2:21" x14ac:dyDescent="0.3">
      <c r="B13" s="3" t="s">
        <v>28</v>
      </c>
      <c r="C13" s="3" t="s">
        <v>29</v>
      </c>
      <c r="D13" s="3" t="s">
        <v>20</v>
      </c>
      <c r="E13" s="3" t="s">
        <v>12</v>
      </c>
      <c r="F13" s="12">
        <v>35270</v>
      </c>
      <c r="G13" s="3">
        <v>100</v>
      </c>
      <c r="H13" s="3">
        <v>79</v>
      </c>
      <c r="I13" s="3">
        <v>179</v>
      </c>
      <c r="J13" s="3">
        <v>89.5</v>
      </c>
      <c r="L13" t="str">
        <v>홍길동</v>
      </c>
      <c r="M13">
        <v>62</v>
      </c>
      <c r="N13">
        <v>67</v>
      </c>
      <c r="O13">
        <v>129</v>
      </c>
      <c r="P13">
        <v>64.5</v>
      </c>
      <c r="Q13"/>
      <c r="R13"/>
      <c r="S13"/>
      <c r="T13"/>
      <c r="U13"/>
    </row>
    <row r="14" spans="2:21" x14ac:dyDescent="0.3">
      <c r="B14" s="3" t="s">
        <v>30</v>
      </c>
      <c r="C14" s="3" t="s">
        <v>25</v>
      </c>
      <c r="D14" s="3" t="s">
        <v>31</v>
      </c>
      <c r="E14" s="3" t="s">
        <v>15</v>
      </c>
      <c r="F14" s="12">
        <v>37421</v>
      </c>
      <c r="G14" s="3">
        <v>78</v>
      </c>
      <c r="H14" s="3">
        <v>84</v>
      </c>
      <c r="I14" s="3">
        <v>162</v>
      </c>
      <c r="J14" s="3">
        <v>81</v>
      </c>
      <c r="L14" t="str">
        <v>홍익한</v>
      </c>
      <c r="M14">
        <v>99</v>
      </c>
      <c r="N14">
        <v>90</v>
      </c>
      <c r="O14">
        <v>189</v>
      </c>
      <c r="P14">
        <v>94.5</v>
      </c>
      <c r="Q14"/>
      <c r="R14"/>
      <c r="S14"/>
      <c r="T14"/>
      <c r="U14"/>
    </row>
    <row r="15" spans="2:21" x14ac:dyDescent="0.3">
      <c r="B15" s="3" t="s">
        <v>32</v>
      </c>
      <c r="C15" s="3" t="s">
        <v>25</v>
      </c>
      <c r="D15" s="3" t="s">
        <v>11</v>
      </c>
      <c r="E15" s="3" t="s">
        <v>15</v>
      </c>
      <c r="F15" s="12">
        <v>40703</v>
      </c>
      <c r="G15" s="3">
        <v>71</v>
      </c>
      <c r="H15" s="3">
        <v>92</v>
      </c>
      <c r="I15" s="3">
        <v>163</v>
      </c>
      <c r="J15" s="3">
        <v>81.5</v>
      </c>
      <c r="L15" t="str">
        <v>홍익한</v>
      </c>
      <c r="M15">
        <v>99</v>
      </c>
      <c r="N15">
        <v>90</v>
      </c>
      <c r="O15">
        <v>189</v>
      </c>
      <c r="P15">
        <v>94.5</v>
      </c>
      <c r="Q15"/>
      <c r="R15"/>
      <c r="S15"/>
      <c r="T15"/>
      <c r="U15"/>
    </row>
    <row r="16" spans="2:21" x14ac:dyDescent="0.3">
      <c r="B16" s="3" t="s">
        <v>33</v>
      </c>
      <c r="C16" s="3" t="s">
        <v>10</v>
      </c>
      <c r="D16" s="3" t="s">
        <v>20</v>
      </c>
      <c r="E16" s="3" t="s">
        <v>15</v>
      </c>
      <c r="F16" s="12">
        <v>35786</v>
      </c>
      <c r="G16" s="3">
        <v>66</v>
      </c>
      <c r="H16" s="3">
        <v>91</v>
      </c>
      <c r="I16" s="3">
        <v>157</v>
      </c>
      <c r="J16" s="3">
        <v>78.5</v>
      </c>
      <c r="L16"/>
      <c r="M16"/>
      <c r="N16"/>
      <c r="O16"/>
      <c r="P16"/>
      <c r="Q16"/>
      <c r="R16"/>
      <c r="S16"/>
      <c r="T16"/>
      <c r="U16"/>
    </row>
    <row r="17" spans="2:21" x14ac:dyDescent="0.3">
      <c r="B17" s="3" t="s">
        <v>34</v>
      </c>
      <c r="C17" s="3" t="s">
        <v>25</v>
      </c>
      <c r="D17" s="3" t="s">
        <v>35</v>
      </c>
      <c r="E17" s="3" t="s">
        <v>12</v>
      </c>
      <c r="F17" s="12">
        <v>37421</v>
      </c>
      <c r="G17" s="3">
        <v>78</v>
      </c>
      <c r="H17" s="3">
        <v>97</v>
      </c>
      <c r="I17" s="3">
        <v>175</v>
      </c>
      <c r="J17" s="3">
        <v>87.5</v>
      </c>
      <c r="L17"/>
      <c r="M17"/>
      <c r="N17"/>
      <c r="O17"/>
      <c r="P17"/>
      <c r="Q17"/>
      <c r="R17"/>
      <c r="S17"/>
      <c r="T17"/>
      <c r="U17"/>
    </row>
    <row r="18" spans="2:21" x14ac:dyDescent="0.3">
      <c r="B18" s="3" t="s">
        <v>36</v>
      </c>
      <c r="C18" s="3" t="s">
        <v>22</v>
      </c>
      <c r="D18" s="3" t="s">
        <v>35</v>
      </c>
      <c r="E18" s="3" t="s">
        <v>15</v>
      </c>
      <c r="F18" s="12">
        <v>38810</v>
      </c>
      <c r="G18" s="3">
        <v>74</v>
      </c>
      <c r="H18" s="3">
        <v>63</v>
      </c>
      <c r="I18" s="3">
        <v>137</v>
      </c>
      <c r="J18" s="3">
        <v>68.5</v>
      </c>
      <c r="L18"/>
      <c r="M18"/>
      <c r="N18"/>
      <c r="O18"/>
      <c r="P18"/>
      <c r="Q18"/>
      <c r="R18"/>
      <c r="S18"/>
      <c r="T18"/>
      <c r="U18"/>
    </row>
    <row r="19" spans="2:21" x14ac:dyDescent="0.3">
      <c r="B19" s="3" t="s">
        <v>37</v>
      </c>
      <c r="C19" s="3" t="s">
        <v>38</v>
      </c>
      <c r="D19" s="3" t="s">
        <v>20</v>
      </c>
      <c r="E19" s="3" t="s">
        <v>15</v>
      </c>
      <c r="F19" s="12">
        <v>35997</v>
      </c>
      <c r="G19" s="3">
        <v>80</v>
      </c>
      <c r="H19" s="3">
        <v>74</v>
      </c>
      <c r="I19" s="3">
        <v>154</v>
      </c>
      <c r="J19" s="3">
        <v>77</v>
      </c>
      <c r="L19"/>
      <c r="M19"/>
      <c r="N19"/>
      <c r="O19"/>
      <c r="P19"/>
      <c r="Q19"/>
      <c r="R19"/>
      <c r="S19"/>
      <c r="T19"/>
      <c r="U19"/>
    </row>
    <row r="20" spans="2:21" x14ac:dyDescent="0.3">
      <c r="B20" s="3" t="s">
        <v>39</v>
      </c>
      <c r="C20" s="3" t="s">
        <v>25</v>
      </c>
      <c r="D20" s="3" t="s">
        <v>31</v>
      </c>
      <c r="E20" s="3" t="s">
        <v>12</v>
      </c>
      <c r="F20" s="12">
        <v>36313</v>
      </c>
      <c r="G20" s="3">
        <v>89</v>
      </c>
      <c r="H20" s="3">
        <v>65</v>
      </c>
      <c r="I20" s="3">
        <v>154</v>
      </c>
      <c r="J20" s="3">
        <v>77</v>
      </c>
      <c r="L20"/>
      <c r="M20"/>
      <c r="N20"/>
      <c r="O20"/>
      <c r="P20"/>
      <c r="Q20"/>
      <c r="R20"/>
      <c r="S20"/>
      <c r="T20"/>
      <c r="U20"/>
    </row>
    <row r="21" spans="2:21" x14ac:dyDescent="0.3">
      <c r="B21" s="3" t="s">
        <v>40</v>
      </c>
      <c r="C21" s="3" t="s">
        <v>10</v>
      </c>
      <c r="D21" s="3" t="s">
        <v>11</v>
      </c>
      <c r="E21" s="3" t="s">
        <v>15</v>
      </c>
      <c r="F21" s="12">
        <v>40869</v>
      </c>
      <c r="G21" s="3">
        <v>67</v>
      </c>
      <c r="H21" s="3">
        <v>67</v>
      </c>
      <c r="I21" s="3">
        <v>134</v>
      </c>
      <c r="J21" s="3">
        <v>67</v>
      </c>
      <c r="L21"/>
      <c r="M21"/>
      <c r="N21"/>
      <c r="O21"/>
      <c r="P21"/>
      <c r="Q21"/>
      <c r="R21"/>
      <c r="S21"/>
      <c r="T21"/>
      <c r="U21"/>
    </row>
    <row r="22" spans="2:21" x14ac:dyDescent="0.3">
      <c r="B22" s="3" t="s">
        <v>41</v>
      </c>
      <c r="C22" s="3" t="s">
        <v>38</v>
      </c>
      <c r="D22" s="3" t="s">
        <v>35</v>
      </c>
      <c r="E22" s="3" t="s">
        <v>15</v>
      </c>
      <c r="F22" s="12">
        <v>37523</v>
      </c>
      <c r="G22" s="3">
        <v>70</v>
      </c>
      <c r="H22" s="3">
        <v>90</v>
      </c>
      <c r="I22" s="3">
        <v>160</v>
      </c>
      <c r="J22" s="3">
        <v>80</v>
      </c>
      <c r="L22"/>
      <c r="M22"/>
      <c r="N22"/>
      <c r="O22"/>
      <c r="P22"/>
      <c r="Q22"/>
      <c r="R22"/>
      <c r="S22"/>
      <c r="T22"/>
      <c r="U22"/>
    </row>
    <row r="23" spans="2:21" x14ac:dyDescent="0.3">
      <c r="B23" s="3" t="s">
        <v>42</v>
      </c>
      <c r="C23" s="3" t="s">
        <v>17</v>
      </c>
      <c r="D23" s="3" t="s">
        <v>20</v>
      </c>
      <c r="E23" s="3" t="s">
        <v>12</v>
      </c>
      <c r="F23" s="12">
        <v>35083</v>
      </c>
      <c r="G23" s="3">
        <v>73</v>
      </c>
      <c r="H23" s="3">
        <v>72</v>
      </c>
      <c r="I23" s="3">
        <v>145</v>
      </c>
      <c r="J23" s="3">
        <v>72.5</v>
      </c>
      <c r="L23"/>
      <c r="M23"/>
      <c r="N23"/>
      <c r="O23"/>
      <c r="P23"/>
      <c r="Q23"/>
      <c r="R23"/>
      <c r="S23"/>
      <c r="T23"/>
      <c r="U23"/>
    </row>
    <row r="24" spans="2:21" x14ac:dyDescent="0.3">
      <c r="B24" s="3" t="s">
        <v>43</v>
      </c>
      <c r="C24" s="3" t="s">
        <v>10</v>
      </c>
      <c r="D24" s="3" t="s">
        <v>31</v>
      </c>
      <c r="E24" s="3" t="s">
        <v>12</v>
      </c>
      <c r="F24" s="12">
        <v>35613</v>
      </c>
      <c r="G24" s="3">
        <v>72</v>
      </c>
      <c r="H24" s="3">
        <v>91</v>
      </c>
      <c r="I24" s="3">
        <v>163</v>
      </c>
      <c r="J24" s="3">
        <v>81.5</v>
      </c>
      <c r="L24"/>
      <c r="M24"/>
      <c r="N24"/>
      <c r="O24"/>
      <c r="P24"/>
      <c r="Q24"/>
      <c r="R24"/>
      <c r="S24"/>
      <c r="T24"/>
      <c r="U24"/>
    </row>
    <row r="25" spans="2:21" x14ac:dyDescent="0.3">
      <c r="B25" s="3" t="s">
        <v>44</v>
      </c>
      <c r="C25" s="3" t="s">
        <v>29</v>
      </c>
      <c r="D25" s="3" t="s">
        <v>31</v>
      </c>
      <c r="E25" s="3" t="s">
        <v>12</v>
      </c>
      <c r="F25" s="12">
        <v>36993</v>
      </c>
      <c r="G25" s="3">
        <v>83</v>
      </c>
      <c r="H25" s="3">
        <v>93</v>
      </c>
      <c r="I25" s="3">
        <v>176</v>
      </c>
      <c r="J25" s="3">
        <v>88</v>
      </c>
      <c r="L25"/>
      <c r="M25"/>
      <c r="N25"/>
      <c r="O25"/>
      <c r="P25"/>
      <c r="Q25"/>
      <c r="R25"/>
      <c r="S25"/>
      <c r="T25"/>
      <c r="U25"/>
    </row>
    <row r="26" spans="2:21" x14ac:dyDescent="0.3">
      <c r="B26" s="3" t="s">
        <v>45</v>
      </c>
      <c r="C26" s="3" t="s">
        <v>22</v>
      </c>
      <c r="D26" s="3" t="s">
        <v>11</v>
      </c>
      <c r="E26" s="3" t="s">
        <v>12</v>
      </c>
      <c r="F26" s="12">
        <v>41312</v>
      </c>
      <c r="G26" s="3">
        <v>92</v>
      </c>
      <c r="H26" s="3">
        <v>99</v>
      </c>
      <c r="I26" s="3">
        <v>191</v>
      </c>
      <c r="J26" s="3">
        <v>95.5</v>
      </c>
      <c r="L26"/>
      <c r="M26"/>
      <c r="N26"/>
      <c r="O26"/>
      <c r="P26"/>
      <c r="Q26"/>
      <c r="R26"/>
      <c r="S26"/>
      <c r="T26"/>
      <c r="U26"/>
    </row>
    <row r="27" spans="2:21" x14ac:dyDescent="0.3">
      <c r="B27" s="3" t="s">
        <v>46</v>
      </c>
      <c r="C27" s="3" t="s">
        <v>38</v>
      </c>
      <c r="D27" s="3" t="s">
        <v>11</v>
      </c>
      <c r="E27" s="3" t="s">
        <v>15</v>
      </c>
      <c r="F27" s="12">
        <v>41278</v>
      </c>
      <c r="G27" s="3">
        <v>91</v>
      </c>
      <c r="H27" s="3">
        <v>60</v>
      </c>
      <c r="I27" s="3">
        <v>151</v>
      </c>
      <c r="J27" s="3">
        <v>75.5</v>
      </c>
      <c r="L27"/>
      <c r="M27"/>
      <c r="N27"/>
      <c r="O27"/>
      <c r="P27"/>
      <c r="Q27"/>
      <c r="R27"/>
      <c r="S27"/>
      <c r="T27"/>
      <c r="U27"/>
    </row>
    <row r="28" spans="2:21" x14ac:dyDescent="0.3">
      <c r="B28" s="3" t="s">
        <v>47</v>
      </c>
      <c r="C28" s="3" t="s">
        <v>27</v>
      </c>
      <c r="D28" s="3" t="s">
        <v>23</v>
      </c>
      <c r="E28" s="3" t="s">
        <v>15</v>
      </c>
      <c r="F28" s="12">
        <v>40816</v>
      </c>
      <c r="G28" s="3">
        <v>69</v>
      </c>
      <c r="H28" s="3">
        <v>86</v>
      </c>
      <c r="I28" s="3">
        <v>155</v>
      </c>
      <c r="J28" s="3">
        <v>77.5</v>
      </c>
    </row>
    <row r="29" spans="2:21" x14ac:dyDescent="0.3">
      <c r="B29" s="3" t="s">
        <v>48</v>
      </c>
      <c r="C29" s="3" t="s">
        <v>14</v>
      </c>
      <c r="D29" s="3" t="s">
        <v>35</v>
      </c>
      <c r="E29" s="3" t="s">
        <v>12</v>
      </c>
      <c r="F29" s="12">
        <v>38980</v>
      </c>
      <c r="G29" s="3">
        <v>87</v>
      </c>
      <c r="H29" s="3">
        <v>92</v>
      </c>
      <c r="I29" s="3">
        <v>179</v>
      </c>
      <c r="J29" s="3">
        <v>89.5</v>
      </c>
    </row>
    <row r="30" spans="2:21" x14ac:dyDescent="0.3">
      <c r="B30" s="3" t="s">
        <v>49</v>
      </c>
      <c r="C30" s="3" t="s">
        <v>22</v>
      </c>
      <c r="D30" s="3" t="s">
        <v>31</v>
      </c>
      <c r="E30" s="3" t="s">
        <v>15</v>
      </c>
      <c r="F30" s="12">
        <v>37049</v>
      </c>
      <c r="G30" s="3">
        <v>92</v>
      </c>
      <c r="H30" s="3">
        <v>91</v>
      </c>
      <c r="I30" s="3">
        <v>183</v>
      </c>
      <c r="J30" s="3">
        <v>91.5</v>
      </c>
    </row>
    <row r="31" spans="2:21" x14ac:dyDescent="0.3">
      <c r="B31" s="3" t="s">
        <v>50</v>
      </c>
      <c r="C31" s="3" t="s">
        <v>22</v>
      </c>
      <c r="D31" s="3" t="s">
        <v>11</v>
      </c>
      <c r="E31" s="3" t="s">
        <v>12</v>
      </c>
      <c r="F31" s="12">
        <v>41568</v>
      </c>
      <c r="G31" s="3">
        <v>78</v>
      </c>
      <c r="H31" s="3">
        <v>78</v>
      </c>
      <c r="I31" s="3">
        <v>156</v>
      </c>
      <c r="J31" s="3">
        <v>78</v>
      </c>
    </row>
    <row r="32" spans="2:21" x14ac:dyDescent="0.3">
      <c r="B32" s="3" t="s">
        <v>51</v>
      </c>
      <c r="C32" s="3" t="s">
        <v>22</v>
      </c>
      <c r="D32" s="3" t="s">
        <v>35</v>
      </c>
      <c r="E32" s="3" t="s">
        <v>12</v>
      </c>
      <c r="F32" s="12">
        <v>37418</v>
      </c>
      <c r="G32" s="3">
        <v>81</v>
      </c>
      <c r="H32" s="3">
        <v>78</v>
      </c>
      <c r="I32" s="3">
        <v>159</v>
      </c>
      <c r="J32" s="3">
        <v>79.5</v>
      </c>
    </row>
    <row r="33" spans="2:10" x14ac:dyDescent="0.3">
      <c r="B33" s="3" t="s">
        <v>52</v>
      </c>
      <c r="C33" s="3" t="s">
        <v>53</v>
      </c>
      <c r="D33" s="3" t="s">
        <v>20</v>
      </c>
      <c r="E33" s="3" t="s">
        <v>15</v>
      </c>
      <c r="F33" s="12">
        <v>35235</v>
      </c>
      <c r="G33" s="3">
        <v>88</v>
      </c>
      <c r="H33" s="3">
        <v>92</v>
      </c>
      <c r="I33" s="3">
        <v>180</v>
      </c>
      <c r="J33" s="3">
        <v>90</v>
      </c>
    </row>
    <row r="34" spans="2:10" x14ac:dyDescent="0.3">
      <c r="B34" s="3" t="s">
        <v>54</v>
      </c>
      <c r="C34" s="3" t="s">
        <v>27</v>
      </c>
      <c r="D34" s="3" t="s">
        <v>35</v>
      </c>
      <c r="E34" s="3" t="s">
        <v>12</v>
      </c>
      <c r="F34" s="12">
        <v>38672</v>
      </c>
      <c r="G34" s="3">
        <v>75</v>
      </c>
      <c r="H34" s="3">
        <v>70</v>
      </c>
      <c r="I34" s="3">
        <v>145</v>
      </c>
      <c r="J34" s="3">
        <v>72.5</v>
      </c>
    </row>
    <row r="35" spans="2:10" x14ac:dyDescent="0.3">
      <c r="B35" s="3" t="s">
        <v>55</v>
      </c>
      <c r="C35" s="3" t="s">
        <v>17</v>
      </c>
      <c r="D35" s="3" t="s">
        <v>23</v>
      </c>
      <c r="E35" s="3" t="s">
        <v>12</v>
      </c>
      <c r="F35" s="12">
        <v>40826</v>
      </c>
      <c r="G35" s="3">
        <v>94</v>
      </c>
      <c r="H35" s="3">
        <v>84</v>
      </c>
      <c r="I35" s="3">
        <v>178</v>
      </c>
      <c r="J35" s="3">
        <v>89</v>
      </c>
    </row>
    <row r="36" spans="2:10" x14ac:dyDescent="0.3">
      <c r="B36" s="3" t="s">
        <v>56</v>
      </c>
      <c r="C36" s="3" t="s">
        <v>17</v>
      </c>
      <c r="D36" s="3" t="s">
        <v>35</v>
      </c>
      <c r="E36" s="3" t="s">
        <v>15</v>
      </c>
      <c r="F36" s="12">
        <v>38758</v>
      </c>
      <c r="G36" s="3">
        <v>67</v>
      </c>
      <c r="H36" s="3">
        <v>74</v>
      </c>
      <c r="I36" s="3">
        <v>141</v>
      </c>
      <c r="J36" s="3">
        <v>70.5</v>
      </c>
    </row>
    <row r="37" spans="2:10" x14ac:dyDescent="0.3">
      <c r="B37" s="3" t="s">
        <v>57</v>
      </c>
      <c r="C37" s="3" t="s">
        <v>27</v>
      </c>
      <c r="D37" s="3" t="s">
        <v>20</v>
      </c>
      <c r="E37" s="3" t="s">
        <v>12</v>
      </c>
      <c r="F37" s="12">
        <v>35257</v>
      </c>
      <c r="G37" s="3">
        <v>73</v>
      </c>
      <c r="H37" s="3">
        <v>99</v>
      </c>
      <c r="I37" s="3">
        <v>172</v>
      </c>
      <c r="J37" s="3">
        <v>86</v>
      </c>
    </row>
    <row r="38" spans="2:10" x14ac:dyDescent="0.3">
      <c r="B38" s="3" t="s">
        <v>58</v>
      </c>
      <c r="C38" s="3" t="s">
        <v>27</v>
      </c>
      <c r="D38" s="3" t="s">
        <v>23</v>
      </c>
      <c r="E38" s="3" t="s">
        <v>15</v>
      </c>
      <c r="F38" s="12">
        <v>39168</v>
      </c>
      <c r="G38" s="3">
        <v>87</v>
      </c>
      <c r="H38" s="3">
        <v>87</v>
      </c>
      <c r="I38" s="3">
        <v>174</v>
      </c>
      <c r="J38" s="3">
        <v>87</v>
      </c>
    </row>
    <row r="39" spans="2:10" x14ac:dyDescent="0.3">
      <c r="B39" s="3" t="s">
        <v>59</v>
      </c>
      <c r="C39" s="3" t="s">
        <v>25</v>
      </c>
      <c r="D39" s="3" t="s">
        <v>35</v>
      </c>
      <c r="E39" s="3" t="s">
        <v>12</v>
      </c>
      <c r="F39" s="12">
        <v>37335</v>
      </c>
      <c r="G39" s="3">
        <v>91</v>
      </c>
      <c r="H39" s="3">
        <v>77</v>
      </c>
      <c r="I39" s="3">
        <v>168</v>
      </c>
      <c r="J39" s="3">
        <v>84</v>
      </c>
    </row>
    <row r="40" spans="2:10" x14ac:dyDescent="0.3">
      <c r="B40" s="3" t="s">
        <v>60</v>
      </c>
      <c r="C40" s="3" t="s">
        <v>53</v>
      </c>
      <c r="D40" s="3" t="s">
        <v>11</v>
      </c>
      <c r="E40" s="3" t="s">
        <v>12</v>
      </c>
      <c r="F40" s="12">
        <v>40710</v>
      </c>
      <c r="G40" s="3">
        <v>66</v>
      </c>
      <c r="H40" s="3">
        <v>71</v>
      </c>
      <c r="I40" s="3">
        <v>137</v>
      </c>
      <c r="J40" s="3">
        <v>68.5</v>
      </c>
    </row>
    <row r="41" spans="2:10" x14ac:dyDescent="0.3">
      <c r="B41" s="3" t="s">
        <v>61</v>
      </c>
      <c r="C41" s="3" t="s">
        <v>38</v>
      </c>
      <c r="D41" s="3" t="s">
        <v>23</v>
      </c>
      <c r="E41" s="3" t="s">
        <v>15</v>
      </c>
      <c r="F41" s="12">
        <v>40788</v>
      </c>
      <c r="G41" s="3">
        <v>67</v>
      </c>
      <c r="H41" s="3">
        <v>60</v>
      </c>
      <c r="I41" s="3">
        <v>127</v>
      </c>
      <c r="J41" s="3">
        <v>63.5</v>
      </c>
    </row>
    <row r="42" spans="2:10" x14ac:dyDescent="0.3">
      <c r="B42" s="3" t="s">
        <v>62</v>
      </c>
      <c r="C42" s="3" t="s">
        <v>10</v>
      </c>
      <c r="D42" s="3" t="s">
        <v>35</v>
      </c>
      <c r="E42" s="3" t="s">
        <v>12</v>
      </c>
      <c r="F42" s="12">
        <v>38660</v>
      </c>
      <c r="G42" s="3">
        <v>88</v>
      </c>
      <c r="H42" s="3">
        <v>74</v>
      </c>
      <c r="I42" s="3">
        <v>162</v>
      </c>
      <c r="J42" s="3">
        <v>81</v>
      </c>
    </row>
    <row r="43" spans="2:10" x14ac:dyDescent="0.3">
      <c r="B43" s="3" t="s">
        <v>63</v>
      </c>
      <c r="C43" s="3" t="s">
        <v>27</v>
      </c>
      <c r="D43" s="3" t="s">
        <v>23</v>
      </c>
      <c r="E43" s="3" t="s">
        <v>12</v>
      </c>
      <c r="F43" s="12">
        <v>38891</v>
      </c>
      <c r="G43" s="3">
        <v>92</v>
      </c>
      <c r="H43" s="3">
        <v>94</v>
      </c>
      <c r="I43" s="3">
        <v>186</v>
      </c>
      <c r="J43" s="3">
        <v>93</v>
      </c>
    </row>
    <row r="44" spans="2:10" x14ac:dyDescent="0.3">
      <c r="B44" s="3" t="s">
        <v>64</v>
      </c>
      <c r="C44" s="3" t="s">
        <v>27</v>
      </c>
      <c r="D44" s="3" t="s">
        <v>31</v>
      </c>
      <c r="E44" s="3" t="s">
        <v>12</v>
      </c>
      <c r="F44" s="12">
        <v>36171</v>
      </c>
      <c r="G44" s="3">
        <v>84</v>
      </c>
      <c r="H44" s="3">
        <v>94</v>
      </c>
      <c r="I44" s="3">
        <v>178</v>
      </c>
      <c r="J44" s="3">
        <v>89</v>
      </c>
    </row>
    <row r="45" spans="2:10" x14ac:dyDescent="0.3">
      <c r="B45" s="3" t="s">
        <v>65</v>
      </c>
      <c r="C45" s="3" t="s">
        <v>14</v>
      </c>
      <c r="D45" s="3" t="s">
        <v>23</v>
      </c>
      <c r="E45" s="3" t="s">
        <v>12</v>
      </c>
      <c r="F45" s="12">
        <v>39157</v>
      </c>
      <c r="G45" s="3">
        <v>84</v>
      </c>
      <c r="H45" s="3">
        <v>62</v>
      </c>
      <c r="I45" s="3">
        <v>146</v>
      </c>
      <c r="J45" s="3">
        <v>73</v>
      </c>
    </row>
    <row r="46" spans="2:10" x14ac:dyDescent="0.3">
      <c r="B46" s="3" t="s">
        <v>66</v>
      </c>
      <c r="C46" s="3" t="s">
        <v>27</v>
      </c>
      <c r="D46" s="3" t="s">
        <v>11</v>
      </c>
      <c r="E46" s="3" t="s">
        <v>12</v>
      </c>
      <c r="F46" s="12">
        <v>41589</v>
      </c>
      <c r="G46" s="3">
        <v>68</v>
      </c>
      <c r="H46" s="3">
        <v>73</v>
      </c>
      <c r="I46" s="3">
        <v>141</v>
      </c>
      <c r="J46" s="3">
        <v>70.5</v>
      </c>
    </row>
    <row r="47" spans="2:10" x14ac:dyDescent="0.3">
      <c r="B47" s="3" t="s">
        <v>67</v>
      </c>
      <c r="C47" s="3" t="s">
        <v>68</v>
      </c>
      <c r="D47" s="3" t="s">
        <v>23</v>
      </c>
      <c r="E47" s="3" t="s">
        <v>15</v>
      </c>
      <c r="F47" s="12">
        <v>40080</v>
      </c>
      <c r="G47" s="3">
        <v>63</v>
      </c>
      <c r="H47" s="3">
        <v>62</v>
      </c>
      <c r="I47" s="3">
        <v>125</v>
      </c>
      <c r="J47" s="3">
        <v>62.5</v>
      </c>
    </row>
    <row r="48" spans="2:10" x14ac:dyDescent="0.3">
      <c r="B48" s="3" t="s">
        <v>69</v>
      </c>
      <c r="C48" s="3" t="s">
        <v>14</v>
      </c>
      <c r="D48" s="3" t="s">
        <v>31</v>
      </c>
      <c r="E48" s="3" t="s">
        <v>15</v>
      </c>
      <c r="F48" s="12">
        <v>35727</v>
      </c>
      <c r="G48" s="3">
        <v>88</v>
      </c>
      <c r="H48" s="3">
        <v>85</v>
      </c>
      <c r="I48" s="3">
        <v>173</v>
      </c>
      <c r="J48" s="3">
        <v>86.5</v>
      </c>
    </row>
    <row r="49" spans="2:10" x14ac:dyDescent="0.3">
      <c r="B49" s="3" t="s">
        <v>70</v>
      </c>
      <c r="C49" s="3" t="s">
        <v>27</v>
      </c>
      <c r="D49" s="3" t="s">
        <v>11</v>
      </c>
      <c r="E49" s="3" t="s">
        <v>12</v>
      </c>
      <c r="F49" s="12">
        <v>40883</v>
      </c>
      <c r="G49" s="3">
        <v>62</v>
      </c>
      <c r="H49" s="3">
        <v>95</v>
      </c>
      <c r="I49" s="3">
        <v>157</v>
      </c>
      <c r="J49" s="3">
        <v>78.5</v>
      </c>
    </row>
    <row r="50" spans="2:10" x14ac:dyDescent="0.3">
      <c r="B50" s="3" t="s">
        <v>71</v>
      </c>
      <c r="C50" s="3" t="s">
        <v>27</v>
      </c>
      <c r="D50" s="3" t="s">
        <v>11</v>
      </c>
      <c r="E50" s="3" t="s">
        <v>15</v>
      </c>
      <c r="F50" s="12">
        <v>41337</v>
      </c>
      <c r="G50" s="3">
        <v>95</v>
      </c>
      <c r="H50" s="3">
        <v>72</v>
      </c>
      <c r="I50" s="3">
        <v>167</v>
      </c>
      <c r="J50" s="3">
        <v>83.5</v>
      </c>
    </row>
    <row r="51" spans="2:10" x14ac:dyDescent="0.3">
      <c r="B51" s="3" t="s">
        <v>72</v>
      </c>
      <c r="C51" s="3" t="s">
        <v>17</v>
      </c>
      <c r="D51" s="3" t="s">
        <v>11</v>
      </c>
      <c r="E51" s="3" t="s">
        <v>12</v>
      </c>
      <c r="F51" s="12">
        <v>40683</v>
      </c>
      <c r="G51" s="3">
        <v>93</v>
      </c>
      <c r="H51" s="3">
        <v>69</v>
      </c>
      <c r="I51" s="3">
        <v>162</v>
      </c>
      <c r="J51" s="3">
        <v>81</v>
      </c>
    </row>
    <row r="52" spans="2:10" x14ac:dyDescent="0.3">
      <c r="B52" s="3" t="s">
        <v>73</v>
      </c>
      <c r="C52" s="3" t="s">
        <v>27</v>
      </c>
      <c r="D52" s="3" t="s">
        <v>31</v>
      </c>
      <c r="E52" s="3" t="s">
        <v>12</v>
      </c>
      <c r="F52" s="12">
        <v>36843</v>
      </c>
      <c r="G52" s="3">
        <v>79</v>
      </c>
      <c r="H52" s="3">
        <v>71</v>
      </c>
      <c r="I52" s="3">
        <v>150</v>
      </c>
      <c r="J52" s="3">
        <v>75</v>
      </c>
    </row>
    <row r="53" spans="2:10" x14ac:dyDescent="0.3">
      <c r="B53" s="3" t="s">
        <v>74</v>
      </c>
      <c r="C53" s="3" t="s">
        <v>17</v>
      </c>
      <c r="D53" s="3" t="s">
        <v>35</v>
      </c>
      <c r="E53" s="3" t="s">
        <v>12</v>
      </c>
      <c r="F53" s="12">
        <v>37285</v>
      </c>
      <c r="G53" s="3">
        <v>69</v>
      </c>
      <c r="H53" s="3">
        <v>88</v>
      </c>
      <c r="I53" s="3">
        <v>157</v>
      </c>
      <c r="J53" s="3">
        <v>78.5</v>
      </c>
    </row>
    <row r="54" spans="2:10" x14ac:dyDescent="0.3">
      <c r="B54" s="3" t="s">
        <v>75</v>
      </c>
      <c r="C54" s="3" t="s">
        <v>53</v>
      </c>
      <c r="D54" s="3" t="s">
        <v>11</v>
      </c>
      <c r="E54" s="3" t="s">
        <v>15</v>
      </c>
      <c r="F54" s="12">
        <v>42699</v>
      </c>
      <c r="G54" s="3">
        <v>95</v>
      </c>
      <c r="H54" s="3">
        <v>83</v>
      </c>
      <c r="I54" s="3">
        <v>178</v>
      </c>
      <c r="J54" s="3">
        <v>89</v>
      </c>
    </row>
    <row r="55" spans="2:10" x14ac:dyDescent="0.3">
      <c r="B55" s="3" t="s">
        <v>76</v>
      </c>
      <c r="C55" s="3" t="s">
        <v>27</v>
      </c>
      <c r="D55" s="3" t="s">
        <v>11</v>
      </c>
      <c r="E55" s="3" t="s">
        <v>15</v>
      </c>
      <c r="F55" s="12">
        <v>42667</v>
      </c>
      <c r="G55" s="3">
        <v>64</v>
      </c>
      <c r="H55" s="3">
        <v>87</v>
      </c>
      <c r="I55" s="3">
        <v>151</v>
      </c>
      <c r="J55" s="3">
        <v>75.5</v>
      </c>
    </row>
    <row r="56" spans="2:10" x14ac:dyDescent="0.3">
      <c r="B56" s="3" t="s">
        <v>77</v>
      </c>
      <c r="C56" s="3" t="s">
        <v>17</v>
      </c>
      <c r="D56" s="3" t="s">
        <v>23</v>
      </c>
      <c r="E56" s="3" t="s">
        <v>12</v>
      </c>
      <c r="F56" s="12">
        <v>39605</v>
      </c>
      <c r="G56" s="3">
        <v>93</v>
      </c>
      <c r="H56" s="3">
        <v>64</v>
      </c>
      <c r="I56" s="3">
        <v>157</v>
      </c>
      <c r="J56" s="3">
        <v>78.5</v>
      </c>
    </row>
    <row r="57" spans="2:10" x14ac:dyDescent="0.3">
      <c r="B57" s="3" t="s">
        <v>78</v>
      </c>
      <c r="C57" s="3" t="s">
        <v>29</v>
      </c>
      <c r="D57" s="3" t="s">
        <v>23</v>
      </c>
      <c r="E57" s="3" t="s">
        <v>12</v>
      </c>
      <c r="F57" s="12">
        <v>40240</v>
      </c>
      <c r="G57" s="3">
        <v>67</v>
      </c>
      <c r="H57" s="3">
        <v>73</v>
      </c>
      <c r="I57" s="3">
        <v>140</v>
      </c>
      <c r="J57" s="3">
        <v>70</v>
      </c>
    </row>
    <row r="58" spans="2:10" x14ac:dyDescent="0.3">
      <c r="B58" s="3" t="s">
        <v>79</v>
      </c>
      <c r="C58" s="3" t="s">
        <v>22</v>
      </c>
      <c r="D58" s="3" t="s">
        <v>23</v>
      </c>
      <c r="E58" s="3" t="s">
        <v>12</v>
      </c>
      <c r="F58" s="12">
        <v>39542</v>
      </c>
      <c r="G58" s="3">
        <v>73</v>
      </c>
      <c r="H58" s="3">
        <v>60</v>
      </c>
      <c r="I58" s="3">
        <v>133</v>
      </c>
      <c r="J58" s="3">
        <v>66.5</v>
      </c>
    </row>
    <row r="59" spans="2:10" x14ac:dyDescent="0.3">
      <c r="B59" s="3" t="s">
        <v>80</v>
      </c>
      <c r="C59" s="3" t="s">
        <v>53</v>
      </c>
      <c r="D59" s="3" t="s">
        <v>23</v>
      </c>
      <c r="E59" s="3" t="s">
        <v>12</v>
      </c>
      <c r="F59" s="12">
        <v>40765</v>
      </c>
      <c r="G59" s="3">
        <v>60</v>
      </c>
      <c r="H59" s="3">
        <v>75</v>
      </c>
      <c r="I59" s="3">
        <v>135</v>
      </c>
      <c r="J59" s="3">
        <v>67.5</v>
      </c>
    </row>
    <row r="60" spans="2:10" x14ac:dyDescent="0.3">
      <c r="B60" s="3" t="s">
        <v>81</v>
      </c>
      <c r="C60" s="3" t="s">
        <v>10</v>
      </c>
      <c r="D60" s="3" t="s">
        <v>23</v>
      </c>
      <c r="E60" s="3" t="s">
        <v>12</v>
      </c>
      <c r="F60" s="12">
        <v>38912</v>
      </c>
      <c r="G60" s="3">
        <v>85</v>
      </c>
      <c r="H60" s="3">
        <v>94</v>
      </c>
      <c r="I60" s="3">
        <v>179</v>
      </c>
      <c r="J60" s="3">
        <v>89.5</v>
      </c>
    </row>
    <row r="61" spans="2:10" x14ac:dyDescent="0.3">
      <c r="B61" s="3" t="s">
        <v>82</v>
      </c>
      <c r="C61" s="3" t="s">
        <v>17</v>
      </c>
      <c r="D61" s="3" t="s">
        <v>31</v>
      </c>
      <c r="E61" s="3" t="s">
        <v>12</v>
      </c>
      <c r="F61" s="12">
        <v>37152</v>
      </c>
      <c r="G61" s="3">
        <v>97</v>
      </c>
      <c r="H61" s="3">
        <v>83</v>
      </c>
      <c r="I61" s="3">
        <v>180</v>
      </c>
      <c r="J61" s="3">
        <v>90</v>
      </c>
    </row>
    <row r="62" spans="2:10" x14ac:dyDescent="0.3">
      <c r="B62" s="3" t="s">
        <v>83</v>
      </c>
      <c r="C62" s="3" t="s">
        <v>25</v>
      </c>
      <c r="D62" s="3" t="s">
        <v>23</v>
      </c>
      <c r="E62" s="3" t="s">
        <v>12</v>
      </c>
      <c r="F62" s="12">
        <v>39779</v>
      </c>
      <c r="G62" s="3">
        <v>91</v>
      </c>
      <c r="H62" s="3">
        <v>84</v>
      </c>
      <c r="I62" s="3">
        <v>175</v>
      </c>
      <c r="J62" s="3">
        <v>87.5</v>
      </c>
    </row>
    <row r="63" spans="2:10" x14ac:dyDescent="0.3">
      <c r="B63" s="3" t="s">
        <v>84</v>
      </c>
      <c r="C63" s="3" t="s">
        <v>25</v>
      </c>
      <c r="D63" s="3" t="s">
        <v>23</v>
      </c>
      <c r="E63" s="3" t="s">
        <v>12</v>
      </c>
      <c r="F63" s="12">
        <v>40200</v>
      </c>
      <c r="G63" s="3">
        <v>75</v>
      </c>
      <c r="H63" s="3">
        <v>75</v>
      </c>
      <c r="I63" s="3">
        <v>150</v>
      </c>
      <c r="J63" s="3">
        <v>75</v>
      </c>
    </row>
    <row r="64" spans="2:10" x14ac:dyDescent="0.3">
      <c r="B64" s="3" t="s">
        <v>85</v>
      </c>
      <c r="C64" s="3" t="s">
        <v>25</v>
      </c>
      <c r="D64" s="3" t="s">
        <v>23</v>
      </c>
      <c r="E64" s="3" t="s">
        <v>12</v>
      </c>
      <c r="F64" s="12">
        <v>41030</v>
      </c>
      <c r="G64" s="3">
        <v>80</v>
      </c>
      <c r="H64" s="3">
        <v>79</v>
      </c>
      <c r="I64" s="3">
        <v>159</v>
      </c>
      <c r="J64" s="3">
        <v>79.5</v>
      </c>
    </row>
    <row r="65" spans="2:10" x14ac:dyDescent="0.3">
      <c r="B65" s="3" t="s">
        <v>86</v>
      </c>
      <c r="C65" s="3" t="s">
        <v>53</v>
      </c>
      <c r="D65" s="3" t="s">
        <v>31</v>
      </c>
      <c r="E65" s="3" t="s">
        <v>15</v>
      </c>
      <c r="F65" s="12">
        <v>36255</v>
      </c>
      <c r="G65" s="3">
        <v>87</v>
      </c>
      <c r="H65" s="3">
        <v>97</v>
      </c>
      <c r="I65" s="3">
        <v>184</v>
      </c>
      <c r="J65" s="3">
        <v>92</v>
      </c>
    </row>
    <row r="66" spans="2:10" x14ac:dyDescent="0.3">
      <c r="B66" s="3" t="s">
        <v>87</v>
      </c>
      <c r="C66" s="3" t="s">
        <v>68</v>
      </c>
      <c r="D66" s="3" t="s">
        <v>20</v>
      </c>
      <c r="E66" s="3" t="s">
        <v>12</v>
      </c>
      <c r="F66" s="12">
        <v>36419</v>
      </c>
      <c r="G66" s="3">
        <v>61</v>
      </c>
      <c r="H66" s="3">
        <v>71</v>
      </c>
      <c r="I66" s="3">
        <v>132</v>
      </c>
      <c r="J66" s="3">
        <v>66</v>
      </c>
    </row>
    <row r="67" spans="2:10" x14ac:dyDescent="0.3">
      <c r="B67" s="3" t="s">
        <v>88</v>
      </c>
      <c r="C67" s="3" t="s">
        <v>27</v>
      </c>
      <c r="D67" s="3" t="s">
        <v>35</v>
      </c>
      <c r="E67" s="3" t="s">
        <v>12</v>
      </c>
      <c r="F67" s="12">
        <v>38847</v>
      </c>
      <c r="G67" s="3">
        <v>99</v>
      </c>
      <c r="H67" s="3">
        <v>75</v>
      </c>
      <c r="I67" s="3">
        <v>174</v>
      </c>
      <c r="J67" s="3">
        <v>87</v>
      </c>
    </row>
    <row r="68" spans="2:10" x14ac:dyDescent="0.3">
      <c r="B68" s="3" t="s">
        <v>89</v>
      </c>
      <c r="C68" s="3" t="s">
        <v>53</v>
      </c>
      <c r="D68" s="3" t="s">
        <v>35</v>
      </c>
      <c r="E68" s="3" t="s">
        <v>15</v>
      </c>
      <c r="F68" s="12">
        <v>38987</v>
      </c>
      <c r="G68" s="3">
        <v>75</v>
      </c>
      <c r="H68" s="3">
        <v>61</v>
      </c>
      <c r="I68" s="3">
        <v>136</v>
      </c>
      <c r="J68" s="3">
        <v>68</v>
      </c>
    </row>
    <row r="69" spans="2:10" x14ac:dyDescent="0.3">
      <c r="B69" s="3" t="s">
        <v>90</v>
      </c>
      <c r="C69" s="3" t="s">
        <v>29</v>
      </c>
      <c r="D69" s="3" t="s">
        <v>11</v>
      </c>
      <c r="E69" s="3" t="s">
        <v>15</v>
      </c>
      <c r="F69" s="12">
        <v>41157</v>
      </c>
      <c r="G69" s="3">
        <v>77</v>
      </c>
      <c r="H69" s="3">
        <v>63</v>
      </c>
      <c r="I69" s="3">
        <v>140</v>
      </c>
      <c r="J69" s="3">
        <v>70</v>
      </c>
    </row>
    <row r="70" spans="2:10" x14ac:dyDescent="0.3">
      <c r="B70" s="3" t="s">
        <v>91</v>
      </c>
      <c r="C70" s="3" t="s">
        <v>29</v>
      </c>
      <c r="D70" s="3" t="s">
        <v>35</v>
      </c>
      <c r="E70" s="3" t="s">
        <v>12</v>
      </c>
      <c r="F70" s="12">
        <v>38828</v>
      </c>
      <c r="G70" s="3">
        <v>60</v>
      </c>
      <c r="H70" s="3">
        <v>86</v>
      </c>
      <c r="I70" s="3">
        <v>146</v>
      </c>
      <c r="J70" s="3">
        <v>73</v>
      </c>
    </row>
    <row r="71" spans="2:10" x14ac:dyDescent="0.3">
      <c r="B71" s="3" t="s">
        <v>92</v>
      </c>
      <c r="C71" s="3" t="s">
        <v>22</v>
      </c>
      <c r="D71" s="3" t="s">
        <v>20</v>
      </c>
      <c r="E71" s="3" t="s">
        <v>12</v>
      </c>
      <c r="F71" s="12">
        <v>36441</v>
      </c>
      <c r="G71" s="3">
        <v>97</v>
      </c>
      <c r="H71" s="3">
        <v>94</v>
      </c>
      <c r="I71" s="3">
        <v>191</v>
      </c>
      <c r="J71" s="3">
        <v>95.5</v>
      </c>
    </row>
    <row r="72" spans="2:10" x14ac:dyDescent="0.3">
      <c r="B72" s="3" t="s">
        <v>93</v>
      </c>
      <c r="C72" s="3" t="s">
        <v>25</v>
      </c>
      <c r="D72" s="3" t="s">
        <v>20</v>
      </c>
      <c r="E72" s="3" t="s">
        <v>12</v>
      </c>
      <c r="F72" s="12">
        <v>35908</v>
      </c>
      <c r="G72" s="3">
        <v>75</v>
      </c>
      <c r="H72" s="3">
        <v>90</v>
      </c>
      <c r="I72" s="3">
        <v>165</v>
      </c>
      <c r="J72" s="3">
        <v>82.5</v>
      </c>
    </row>
    <row r="73" spans="2:10" x14ac:dyDescent="0.3">
      <c r="B73" s="3" t="s">
        <v>94</v>
      </c>
      <c r="C73" s="3" t="s">
        <v>68</v>
      </c>
      <c r="D73" s="3" t="s">
        <v>11</v>
      </c>
      <c r="E73" s="3" t="s">
        <v>12</v>
      </c>
      <c r="F73" s="12">
        <v>41765</v>
      </c>
      <c r="G73" s="3">
        <v>81</v>
      </c>
      <c r="H73" s="3">
        <v>65</v>
      </c>
      <c r="I73" s="3">
        <v>146</v>
      </c>
      <c r="J73" s="3">
        <v>73</v>
      </c>
    </row>
    <row r="74" spans="2:10" x14ac:dyDescent="0.3">
      <c r="B74" s="3" t="s">
        <v>95</v>
      </c>
      <c r="C74" s="3" t="s">
        <v>10</v>
      </c>
      <c r="D74" s="3" t="s">
        <v>23</v>
      </c>
      <c r="E74" s="3" t="s">
        <v>12</v>
      </c>
      <c r="F74" s="12">
        <v>38889</v>
      </c>
      <c r="G74" s="3">
        <v>62</v>
      </c>
      <c r="H74" s="3">
        <v>70</v>
      </c>
      <c r="I74" s="3">
        <v>132</v>
      </c>
      <c r="J74" s="3">
        <v>66</v>
      </c>
    </row>
    <row r="75" spans="2:10" x14ac:dyDescent="0.3">
      <c r="B75" s="3" t="s">
        <v>96</v>
      </c>
      <c r="C75" s="3" t="s">
        <v>25</v>
      </c>
      <c r="D75" s="3" t="s">
        <v>11</v>
      </c>
      <c r="E75" s="3" t="s">
        <v>12</v>
      </c>
      <c r="F75" s="12">
        <v>41873</v>
      </c>
      <c r="G75" s="3">
        <v>76</v>
      </c>
      <c r="H75" s="3">
        <v>89</v>
      </c>
      <c r="I75" s="3">
        <v>165</v>
      </c>
      <c r="J75" s="3">
        <v>82.5</v>
      </c>
    </row>
    <row r="76" spans="2:10" x14ac:dyDescent="0.3">
      <c r="B76" s="3" t="s">
        <v>97</v>
      </c>
      <c r="C76" s="3" t="s">
        <v>22</v>
      </c>
      <c r="D76" s="3" t="s">
        <v>23</v>
      </c>
      <c r="E76" s="3" t="s">
        <v>12</v>
      </c>
      <c r="F76" s="12">
        <v>40102</v>
      </c>
      <c r="G76" s="3">
        <v>62</v>
      </c>
      <c r="H76" s="3">
        <v>67</v>
      </c>
      <c r="I76" s="3">
        <v>129</v>
      </c>
      <c r="J76" s="3">
        <v>64.5</v>
      </c>
    </row>
    <row r="77" spans="2:10" x14ac:dyDescent="0.3">
      <c r="B77" s="3" t="s">
        <v>98</v>
      </c>
      <c r="C77" s="3" t="s">
        <v>22</v>
      </c>
      <c r="D77" s="3" t="s">
        <v>11</v>
      </c>
      <c r="E77" s="3" t="s">
        <v>12</v>
      </c>
      <c r="F77" s="12">
        <v>41914</v>
      </c>
      <c r="G77" s="3">
        <v>99</v>
      </c>
      <c r="H77" s="3">
        <v>90</v>
      </c>
      <c r="I77" s="3">
        <v>189</v>
      </c>
      <c r="J77" s="3">
        <v>94.5</v>
      </c>
    </row>
    <row r="78" spans="2:10" x14ac:dyDescent="0.3">
      <c r="B78" s="3" t="s">
        <v>99</v>
      </c>
      <c r="C78" s="3" t="s">
        <v>68</v>
      </c>
      <c r="D78" s="3" t="s">
        <v>35</v>
      </c>
      <c r="E78" s="3" t="s">
        <v>12</v>
      </c>
      <c r="F78" s="12">
        <v>37237</v>
      </c>
      <c r="G78" s="3">
        <v>60</v>
      </c>
      <c r="H78" s="3">
        <v>94</v>
      </c>
      <c r="I78" s="3">
        <v>154</v>
      </c>
      <c r="J78" s="3">
        <v>77</v>
      </c>
    </row>
    <row r="79" spans="2:10" x14ac:dyDescent="0.3">
      <c r="B79" s="3" t="s">
        <v>100</v>
      </c>
      <c r="C79" s="3" t="s">
        <v>25</v>
      </c>
      <c r="D79" s="3" t="s">
        <v>11</v>
      </c>
      <c r="E79" s="3" t="s">
        <v>12</v>
      </c>
      <c r="F79" s="12">
        <v>42951</v>
      </c>
      <c r="G79" s="3">
        <v>97</v>
      </c>
      <c r="H79" s="3">
        <v>88</v>
      </c>
      <c r="I79" s="3">
        <v>185</v>
      </c>
      <c r="J79" s="3">
        <v>92.5</v>
      </c>
    </row>
    <row r="80" spans="2:10" x14ac:dyDescent="0.3">
      <c r="B80" s="3" t="s">
        <v>101</v>
      </c>
      <c r="C80" s="3" t="s">
        <v>29</v>
      </c>
      <c r="D80" s="3" t="s">
        <v>11</v>
      </c>
      <c r="E80" s="3" t="s">
        <v>15</v>
      </c>
      <c r="F80" s="12">
        <v>42352</v>
      </c>
      <c r="G80" s="3">
        <v>96</v>
      </c>
      <c r="H80" s="3">
        <v>97</v>
      </c>
      <c r="I80" s="3">
        <v>193</v>
      </c>
      <c r="J80" s="3">
        <v>96.5</v>
      </c>
    </row>
    <row r="81" spans="2:10" x14ac:dyDescent="0.3">
      <c r="B81" s="3" t="s">
        <v>98</v>
      </c>
      <c r="C81" s="3" t="s">
        <v>22</v>
      </c>
      <c r="D81" s="3" t="s">
        <v>11</v>
      </c>
      <c r="E81" s="3" t="s">
        <v>12</v>
      </c>
      <c r="F81" s="12">
        <v>41914</v>
      </c>
      <c r="G81" s="3">
        <v>99</v>
      </c>
      <c r="H81" s="3">
        <v>90</v>
      </c>
      <c r="I81" s="3">
        <v>189</v>
      </c>
      <c r="J81" s="3">
        <v>94.5</v>
      </c>
    </row>
    <row r="82" spans="2:10" x14ac:dyDescent="0.3">
      <c r="B82" s="3" t="s">
        <v>99</v>
      </c>
      <c r="C82" s="3" t="s">
        <v>68</v>
      </c>
      <c r="D82" s="3" t="s">
        <v>35</v>
      </c>
      <c r="E82" s="3" t="s">
        <v>12</v>
      </c>
      <c r="F82" s="12">
        <v>37237</v>
      </c>
      <c r="G82" s="3">
        <v>60</v>
      </c>
      <c r="H82" s="3">
        <v>94</v>
      </c>
      <c r="I82" s="3">
        <v>154</v>
      </c>
      <c r="J82" s="3">
        <v>77</v>
      </c>
    </row>
    <row r="83" spans="2:10" x14ac:dyDescent="0.3">
      <c r="B83" s="3" t="s">
        <v>100</v>
      </c>
      <c r="C83" s="3" t="s">
        <v>25</v>
      </c>
      <c r="D83" s="3" t="s">
        <v>11</v>
      </c>
      <c r="E83" s="3" t="s">
        <v>12</v>
      </c>
      <c r="F83" s="12">
        <v>42951</v>
      </c>
      <c r="G83" s="3">
        <v>72</v>
      </c>
      <c r="H83" s="3">
        <v>88</v>
      </c>
      <c r="I83" s="3">
        <v>160</v>
      </c>
      <c r="J83" s="3">
        <v>80</v>
      </c>
    </row>
    <row r="84" spans="2:10" x14ac:dyDescent="0.3">
      <c r="B84" s="4" t="s">
        <v>101</v>
      </c>
      <c r="C84" s="4" t="s">
        <v>29</v>
      </c>
      <c r="D84" s="4" t="s">
        <v>11</v>
      </c>
      <c r="E84" s="4" t="s">
        <v>15</v>
      </c>
      <c r="F84" s="13">
        <v>42352</v>
      </c>
      <c r="G84" s="4">
        <v>80</v>
      </c>
      <c r="H84" s="4">
        <v>97</v>
      </c>
      <c r="I84" s="4">
        <v>177</v>
      </c>
      <c r="J84" s="4">
        <v>88.5</v>
      </c>
    </row>
  </sheetData>
  <phoneticPr fontId="2" type="noConversion"/>
  <dataValidations count="1">
    <dataValidation type="list" allowBlank="1" showInputMessage="1" showErrorMessage="1" sqref="M2" xr:uid="{916A171D-2C02-4A07-879F-425808597CB0}">
      <formula1>소속명</formula1>
    </dataValidation>
  </dataValidations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46BF0A-ED85-49CD-97A8-9E5B72B5559B}">
  <sheetPr codeName="Sheet3">
    <tabColor rgb="FF0070C0"/>
  </sheetPr>
  <dimension ref="B1:T84"/>
  <sheetViews>
    <sheetView zoomScale="115" zoomScaleNormal="115" workbookViewId="0">
      <selection activeCell="B2" sqref="B2:J2"/>
    </sheetView>
  </sheetViews>
  <sheetFormatPr defaultRowHeight="16.5" x14ac:dyDescent="0.3"/>
  <cols>
    <col min="1" max="1" width="1.625" style="2" customWidth="1"/>
    <col min="2" max="2" width="9" style="2"/>
    <col min="3" max="3" width="11" style="2" bestFit="1" customWidth="1"/>
    <col min="4" max="5" width="5.5" style="2" bestFit="1" customWidth="1"/>
    <col min="6" max="6" width="11.125" style="17" bestFit="1" customWidth="1"/>
    <col min="7" max="7" width="6.875" style="2" bestFit="1" customWidth="1"/>
    <col min="8" max="8" width="6.75" style="2" bestFit="1" customWidth="1"/>
    <col min="9" max="10" width="5.5" style="2" bestFit="1" customWidth="1"/>
    <col min="11" max="11" width="2.375" style="2" customWidth="1"/>
    <col min="12" max="12" width="9" style="2"/>
    <col min="13" max="13" width="11.625" style="2" customWidth="1"/>
    <col min="14" max="14" width="11" style="2" customWidth="1"/>
    <col min="15" max="15" width="6.5" style="2" customWidth="1"/>
    <col min="16" max="16384" width="9" style="2"/>
  </cols>
  <sheetData>
    <row r="1" spans="2:20" ht="7.5" customHeight="1" thickBot="1" x14ac:dyDescent="0.35"/>
    <row r="2" spans="2:20" ht="30" customHeight="1" thickTop="1" thickBot="1" x14ac:dyDescent="0.35">
      <c r="B2" s="80" t="s">
        <v>102</v>
      </c>
      <c r="C2" s="81"/>
      <c r="D2" s="81"/>
      <c r="E2" s="81"/>
      <c r="F2" s="81"/>
      <c r="G2" s="81"/>
      <c r="H2" s="81"/>
      <c r="I2" s="81"/>
      <c r="J2" s="81"/>
      <c r="L2" s="10" t="s">
        <v>1</v>
      </c>
      <c r="M2" s="11" t="s">
        <v>22</v>
      </c>
      <c r="N2" s="10" t="s">
        <v>103</v>
      </c>
      <c r="O2" s="11">
        <v>94</v>
      </c>
    </row>
    <row r="3" spans="2:20" ht="7.5" customHeight="1" thickTop="1" x14ac:dyDescent="0.3"/>
    <row r="4" spans="2:20" x14ac:dyDescent="0.3">
      <c r="B4" s="5" t="s">
        <v>0</v>
      </c>
      <c r="C4" s="6" t="s">
        <v>1</v>
      </c>
      <c r="D4" s="6" t="s">
        <v>2</v>
      </c>
      <c r="E4" s="6" t="s">
        <v>3</v>
      </c>
      <c r="F4" s="15" t="s">
        <v>4</v>
      </c>
      <c r="G4" s="6" t="s">
        <v>5</v>
      </c>
      <c r="H4" s="6" t="s">
        <v>6</v>
      </c>
      <c r="I4" s="6" t="s">
        <v>7</v>
      </c>
      <c r="J4" s="7" t="s">
        <v>8</v>
      </c>
      <c r="L4" s="5" t="s">
        <v>0</v>
      </c>
      <c r="M4" s="6" t="s">
        <v>1</v>
      </c>
      <c r="N4" s="6" t="s">
        <v>2</v>
      </c>
      <c r="O4" s="6" t="s">
        <v>3</v>
      </c>
      <c r="P4" s="15" t="s">
        <v>4</v>
      </c>
      <c r="Q4" s="6" t="s">
        <v>5</v>
      </c>
      <c r="R4" s="6" t="s">
        <v>6</v>
      </c>
      <c r="S4" s="6" t="s">
        <v>7</v>
      </c>
      <c r="T4" s="7" t="s">
        <v>8</v>
      </c>
    </row>
    <row r="5" spans="2:20" x14ac:dyDescent="0.3">
      <c r="B5" s="3" t="s">
        <v>9</v>
      </c>
      <c r="C5" s="3" t="s">
        <v>10</v>
      </c>
      <c r="D5" s="3" t="s">
        <v>11</v>
      </c>
      <c r="E5" s="3" t="s">
        <v>12</v>
      </c>
      <c r="F5" s="12">
        <v>42830</v>
      </c>
      <c r="G5" s="3">
        <v>97</v>
      </c>
      <c r="H5" s="3">
        <v>70</v>
      </c>
      <c r="I5" s="3">
        <v>167</v>
      </c>
      <c r="J5" s="3">
        <v>83.5</v>
      </c>
      <c r="L5" t="str" cm="1">
        <f t="array" ref="L5:T8">_xlfn._xlws.FILTER(B:J,(C:C=M2)*(J:J&gt;=O2))</f>
        <v>박문수</v>
      </c>
      <c r="M5" t="str">
        <v>영업1팀</v>
      </c>
      <c r="N5" t="str">
        <v>사원</v>
      </c>
      <c r="O5" t="str">
        <v>남</v>
      </c>
      <c r="P5">
        <v>41312</v>
      </c>
      <c r="Q5">
        <v>92</v>
      </c>
      <c r="R5">
        <v>99</v>
      </c>
      <c r="S5">
        <v>191</v>
      </c>
      <c r="T5">
        <v>95.5</v>
      </c>
    </row>
    <row r="6" spans="2:20" x14ac:dyDescent="0.3">
      <c r="B6" s="3" t="s">
        <v>13</v>
      </c>
      <c r="C6" s="3" t="s">
        <v>14</v>
      </c>
      <c r="D6" s="3" t="s">
        <v>11</v>
      </c>
      <c r="E6" s="3" t="s">
        <v>15</v>
      </c>
      <c r="F6" s="12">
        <v>40563</v>
      </c>
      <c r="G6" s="3">
        <v>93</v>
      </c>
      <c r="H6" s="3">
        <v>79</v>
      </c>
      <c r="I6" s="3">
        <v>172</v>
      </c>
      <c r="J6" s="3">
        <v>86</v>
      </c>
      <c r="L6" t="str">
        <v>태조</v>
      </c>
      <c r="M6" t="str">
        <v>영업1팀</v>
      </c>
      <c r="N6" t="str">
        <v>부장</v>
      </c>
      <c r="O6" t="str">
        <v>남</v>
      </c>
      <c r="P6">
        <v>36441</v>
      </c>
      <c r="Q6">
        <v>97</v>
      </c>
      <c r="R6">
        <v>94</v>
      </c>
      <c r="S6">
        <v>191</v>
      </c>
      <c r="T6">
        <v>95.5</v>
      </c>
    </row>
    <row r="7" spans="2:20" x14ac:dyDescent="0.3">
      <c r="B7" s="3" t="s">
        <v>16</v>
      </c>
      <c r="C7" s="3" t="s">
        <v>17</v>
      </c>
      <c r="D7" s="3" t="s">
        <v>11</v>
      </c>
      <c r="E7" s="3" t="s">
        <v>12</v>
      </c>
      <c r="F7" s="12">
        <v>40809</v>
      </c>
      <c r="G7" s="3">
        <v>63</v>
      </c>
      <c r="H7" s="3">
        <v>75</v>
      </c>
      <c r="I7" s="3">
        <v>138</v>
      </c>
      <c r="J7" s="3">
        <v>69</v>
      </c>
      <c r="L7" t="str">
        <v>홍익한</v>
      </c>
      <c r="M7" t="str">
        <v>영업1팀</v>
      </c>
      <c r="N7" t="str">
        <v>사원</v>
      </c>
      <c r="O7" t="str">
        <v>남</v>
      </c>
      <c r="P7">
        <v>41914</v>
      </c>
      <c r="Q7">
        <v>99</v>
      </c>
      <c r="R7">
        <v>90</v>
      </c>
      <c r="S7">
        <v>189</v>
      </c>
      <c r="T7">
        <v>94.5</v>
      </c>
    </row>
    <row r="8" spans="2:20" x14ac:dyDescent="0.3">
      <c r="B8" s="3" t="s">
        <v>18</v>
      </c>
      <c r="C8" s="3" t="s">
        <v>14</v>
      </c>
      <c r="D8" s="3" t="s">
        <v>11</v>
      </c>
      <c r="E8" s="3" t="s">
        <v>15</v>
      </c>
      <c r="F8" s="12">
        <v>42269</v>
      </c>
      <c r="G8" s="3">
        <v>89</v>
      </c>
      <c r="H8" s="3">
        <v>82</v>
      </c>
      <c r="I8" s="3">
        <v>171</v>
      </c>
      <c r="J8" s="3">
        <v>85.5</v>
      </c>
      <c r="L8" t="str">
        <v>홍익한</v>
      </c>
      <c r="M8" t="str">
        <v>영업1팀</v>
      </c>
      <c r="N8" t="str">
        <v>사원</v>
      </c>
      <c r="O8" t="str">
        <v>남</v>
      </c>
      <c r="P8">
        <v>41914</v>
      </c>
      <c r="Q8">
        <v>99</v>
      </c>
      <c r="R8">
        <v>90</v>
      </c>
      <c r="S8">
        <v>189</v>
      </c>
      <c r="T8">
        <v>94.5</v>
      </c>
    </row>
    <row r="9" spans="2:20" x14ac:dyDescent="0.3">
      <c r="B9" s="3" t="s">
        <v>19</v>
      </c>
      <c r="C9" s="3" t="s">
        <v>14</v>
      </c>
      <c r="D9" s="3" t="s">
        <v>20</v>
      </c>
      <c r="E9" s="3" t="s">
        <v>12</v>
      </c>
      <c r="F9" s="12">
        <v>35622</v>
      </c>
      <c r="G9" s="3">
        <v>93</v>
      </c>
      <c r="H9" s="3">
        <v>84</v>
      </c>
      <c r="I9" s="3">
        <v>177</v>
      </c>
      <c r="J9" s="3">
        <v>88.5</v>
      </c>
      <c r="L9"/>
      <c r="M9"/>
      <c r="N9"/>
      <c r="O9"/>
      <c r="P9"/>
      <c r="Q9"/>
      <c r="R9"/>
      <c r="S9"/>
      <c r="T9"/>
    </row>
    <row r="10" spans="2:20" x14ac:dyDescent="0.3">
      <c r="B10" s="3" t="s">
        <v>21</v>
      </c>
      <c r="C10" s="3" t="s">
        <v>22</v>
      </c>
      <c r="D10" s="3" t="s">
        <v>23</v>
      </c>
      <c r="E10" s="3" t="s">
        <v>12</v>
      </c>
      <c r="F10" s="12">
        <v>39708</v>
      </c>
      <c r="G10" s="3">
        <v>77</v>
      </c>
      <c r="H10" s="3">
        <v>70</v>
      </c>
      <c r="I10" s="3">
        <v>147</v>
      </c>
      <c r="J10" s="3">
        <v>73.5</v>
      </c>
      <c r="L10"/>
      <c r="M10"/>
      <c r="N10"/>
      <c r="O10"/>
      <c r="P10"/>
      <c r="Q10"/>
      <c r="R10"/>
      <c r="S10"/>
      <c r="T10"/>
    </row>
    <row r="11" spans="2:20" x14ac:dyDescent="0.3">
      <c r="B11" s="3" t="s">
        <v>24</v>
      </c>
      <c r="C11" s="3" t="s">
        <v>25</v>
      </c>
      <c r="D11" s="3" t="s">
        <v>11</v>
      </c>
      <c r="E11" s="3" t="s">
        <v>12</v>
      </c>
      <c r="F11" s="12">
        <v>42332</v>
      </c>
      <c r="G11" s="3">
        <v>82</v>
      </c>
      <c r="H11" s="3">
        <v>70</v>
      </c>
      <c r="I11" s="3">
        <v>152</v>
      </c>
      <c r="J11" s="3">
        <v>76</v>
      </c>
      <c r="L11"/>
      <c r="M11"/>
      <c r="N11"/>
      <c r="O11"/>
      <c r="P11"/>
      <c r="Q11"/>
      <c r="R11"/>
      <c r="S11"/>
      <c r="T11"/>
    </row>
    <row r="12" spans="2:20" x14ac:dyDescent="0.3">
      <c r="B12" s="3" t="s">
        <v>26</v>
      </c>
      <c r="C12" s="3" t="s">
        <v>27</v>
      </c>
      <c r="D12" s="3" t="s">
        <v>11</v>
      </c>
      <c r="E12" s="3" t="s">
        <v>15</v>
      </c>
      <c r="F12" s="12">
        <v>42009</v>
      </c>
      <c r="G12" s="3">
        <v>87</v>
      </c>
      <c r="H12" s="3">
        <v>65</v>
      </c>
      <c r="I12" s="3">
        <v>152</v>
      </c>
      <c r="J12" s="3">
        <v>76</v>
      </c>
      <c r="L12"/>
      <c r="M12"/>
      <c r="N12"/>
      <c r="O12"/>
      <c r="P12"/>
      <c r="Q12"/>
      <c r="R12"/>
      <c r="S12"/>
      <c r="T12"/>
    </row>
    <row r="13" spans="2:20" x14ac:dyDescent="0.3">
      <c r="B13" s="3" t="s">
        <v>28</v>
      </c>
      <c r="C13" s="3" t="s">
        <v>29</v>
      </c>
      <c r="D13" s="3" t="s">
        <v>20</v>
      </c>
      <c r="E13" s="3" t="s">
        <v>12</v>
      </c>
      <c r="F13" s="12">
        <v>35270</v>
      </c>
      <c r="G13" s="3">
        <v>100</v>
      </c>
      <c r="H13" s="3">
        <v>79</v>
      </c>
      <c r="I13" s="3">
        <v>179</v>
      </c>
      <c r="J13" s="3">
        <v>89.5</v>
      </c>
      <c r="L13"/>
      <c r="M13"/>
      <c r="N13"/>
      <c r="O13"/>
      <c r="P13"/>
      <c r="Q13"/>
      <c r="R13"/>
      <c r="S13"/>
      <c r="T13"/>
    </row>
    <row r="14" spans="2:20" x14ac:dyDescent="0.3">
      <c r="B14" s="3" t="s">
        <v>30</v>
      </c>
      <c r="C14" s="3" t="s">
        <v>25</v>
      </c>
      <c r="D14" s="3" t="s">
        <v>31</v>
      </c>
      <c r="E14" s="3" t="s">
        <v>15</v>
      </c>
      <c r="F14" s="12">
        <v>37421</v>
      </c>
      <c r="G14" s="3">
        <v>78</v>
      </c>
      <c r="H14" s="3">
        <v>84</v>
      </c>
      <c r="I14" s="3">
        <v>162</v>
      </c>
      <c r="J14" s="3">
        <v>81</v>
      </c>
      <c r="L14"/>
      <c r="M14"/>
      <c r="N14"/>
      <c r="O14"/>
      <c r="P14"/>
      <c r="Q14"/>
      <c r="R14"/>
      <c r="S14"/>
      <c r="T14"/>
    </row>
    <row r="15" spans="2:20" x14ac:dyDescent="0.3">
      <c r="B15" s="3" t="s">
        <v>32</v>
      </c>
      <c r="C15" s="3" t="s">
        <v>25</v>
      </c>
      <c r="D15" s="3" t="s">
        <v>11</v>
      </c>
      <c r="E15" s="3" t="s">
        <v>15</v>
      </c>
      <c r="F15" s="12">
        <v>40703</v>
      </c>
      <c r="G15" s="3">
        <v>71</v>
      </c>
      <c r="H15" s="3">
        <v>92</v>
      </c>
      <c r="I15" s="3">
        <v>163</v>
      </c>
      <c r="J15" s="3">
        <v>81.5</v>
      </c>
      <c r="L15"/>
      <c r="M15"/>
      <c r="N15"/>
      <c r="O15"/>
      <c r="P15"/>
      <c r="Q15"/>
      <c r="R15"/>
      <c r="S15"/>
      <c r="T15"/>
    </row>
    <row r="16" spans="2:20" x14ac:dyDescent="0.3">
      <c r="B16" s="3" t="s">
        <v>33</v>
      </c>
      <c r="C16" s="3" t="s">
        <v>10</v>
      </c>
      <c r="D16" s="3" t="s">
        <v>20</v>
      </c>
      <c r="E16" s="3" t="s">
        <v>15</v>
      </c>
      <c r="F16" s="12">
        <v>35786</v>
      </c>
      <c r="G16" s="3">
        <v>66</v>
      </c>
      <c r="H16" s="3">
        <v>91</v>
      </c>
      <c r="I16" s="3">
        <v>157</v>
      </c>
      <c r="J16" s="3">
        <v>78.5</v>
      </c>
      <c r="L16"/>
      <c r="M16"/>
      <c r="N16"/>
      <c r="O16"/>
      <c r="P16"/>
      <c r="Q16"/>
      <c r="R16"/>
      <c r="S16"/>
      <c r="T16"/>
    </row>
    <row r="17" spans="2:20" x14ac:dyDescent="0.3">
      <c r="B17" s="3" t="s">
        <v>34</v>
      </c>
      <c r="C17" s="3" t="s">
        <v>25</v>
      </c>
      <c r="D17" s="3" t="s">
        <v>35</v>
      </c>
      <c r="E17" s="3" t="s">
        <v>12</v>
      </c>
      <c r="F17" s="12">
        <v>37421</v>
      </c>
      <c r="G17" s="3">
        <v>78</v>
      </c>
      <c r="H17" s="3">
        <v>97</v>
      </c>
      <c r="I17" s="3">
        <v>175</v>
      </c>
      <c r="J17" s="3">
        <v>87.5</v>
      </c>
      <c r="L17"/>
      <c r="M17"/>
      <c r="N17"/>
      <c r="O17"/>
      <c r="P17"/>
      <c r="Q17"/>
      <c r="R17"/>
      <c r="S17"/>
      <c r="T17"/>
    </row>
    <row r="18" spans="2:20" x14ac:dyDescent="0.3">
      <c r="B18" s="3" t="s">
        <v>36</v>
      </c>
      <c r="C18" s="3" t="s">
        <v>22</v>
      </c>
      <c r="D18" s="3" t="s">
        <v>35</v>
      </c>
      <c r="E18" s="3" t="s">
        <v>15</v>
      </c>
      <c r="F18" s="12">
        <v>38810</v>
      </c>
      <c r="G18" s="3">
        <v>74</v>
      </c>
      <c r="H18" s="3">
        <v>63</v>
      </c>
      <c r="I18" s="3">
        <v>137</v>
      </c>
      <c r="J18" s="3">
        <v>68.5</v>
      </c>
      <c r="L18"/>
      <c r="M18"/>
      <c r="N18"/>
      <c r="O18"/>
      <c r="P18"/>
      <c r="Q18"/>
      <c r="R18"/>
      <c r="S18"/>
      <c r="T18"/>
    </row>
    <row r="19" spans="2:20" x14ac:dyDescent="0.3">
      <c r="B19" s="3" t="s">
        <v>37</v>
      </c>
      <c r="C19" s="3" t="s">
        <v>38</v>
      </c>
      <c r="D19" s="3" t="s">
        <v>20</v>
      </c>
      <c r="E19" s="3" t="s">
        <v>15</v>
      </c>
      <c r="F19" s="12">
        <v>35997</v>
      </c>
      <c r="G19" s="3">
        <v>80</v>
      </c>
      <c r="H19" s="3">
        <v>74</v>
      </c>
      <c r="I19" s="3">
        <v>154</v>
      </c>
      <c r="J19" s="3">
        <v>77</v>
      </c>
      <c r="L19"/>
      <c r="M19"/>
      <c r="N19"/>
      <c r="O19"/>
      <c r="P19"/>
      <c r="Q19"/>
      <c r="R19"/>
      <c r="S19"/>
      <c r="T19"/>
    </row>
    <row r="20" spans="2:20" x14ac:dyDescent="0.3">
      <c r="B20" s="3" t="s">
        <v>39</v>
      </c>
      <c r="C20" s="3" t="s">
        <v>25</v>
      </c>
      <c r="D20" s="3" t="s">
        <v>31</v>
      </c>
      <c r="E20" s="3" t="s">
        <v>12</v>
      </c>
      <c r="F20" s="12">
        <v>36313</v>
      </c>
      <c r="G20" s="3">
        <v>89</v>
      </c>
      <c r="H20" s="3">
        <v>65</v>
      </c>
      <c r="I20" s="3">
        <v>154</v>
      </c>
      <c r="J20" s="3">
        <v>77</v>
      </c>
      <c r="L20"/>
      <c r="M20"/>
      <c r="N20"/>
      <c r="O20"/>
      <c r="P20"/>
      <c r="Q20"/>
      <c r="R20"/>
      <c r="S20"/>
      <c r="T20"/>
    </row>
    <row r="21" spans="2:20" x14ac:dyDescent="0.3">
      <c r="B21" s="3" t="s">
        <v>40</v>
      </c>
      <c r="C21" s="3" t="s">
        <v>10</v>
      </c>
      <c r="D21" s="3" t="s">
        <v>11</v>
      </c>
      <c r="E21" s="3" t="s">
        <v>15</v>
      </c>
      <c r="F21" s="12">
        <v>40869</v>
      </c>
      <c r="G21" s="3">
        <v>67</v>
      </c>
      <c r="H21" s="3">
        <v>67</v>
      </c>
      <c r="I21" s="3">
        <v>134</v>
      </c>
      <c r="J21" s="3">
        <v>67</v>
      </c>
      <c r="L21"/>
      <c r="M21"/>
      <c r="N21"/>
      <c r="O21"/>
      <c r="P21"/>
      <c r="Q21"/>
      <c r="R21"/>
      <c r="S21"/>
      <c r="T21"/>
    </row>
    <row r="22" spans="2:20" x14ac:dyDescent="0.3">
      <c r="B22" s="3" t="s">
        <v>41</v>
      </c>
      <c r="C22" s="3" t="s">
        <v>38</v>
      </c>
      <c r="D22" s="3" t="s">
        <v>35</v>
      </c>
      <c r="E22" s="3" t="s">
        <v>15</v>
      </c>
      <c r="F22" s="12">
        <v>37523</v>
      </c>
      <c r="G22" s="3">
        <v>70</v>
      </c>
      <c r="H22" s="3">
        <v>90</v>
      </c>
      <c r="I22" s="3">
        <v>160</v>
      </c>
      <c r="J22" s="3">
        <v>80</v>
      </c>
      <c r="L22"/>
      <c r="M22"/>
      <c r="N22"/>
      <c r="O22"/>
      <c r="P22"/>
      <c r="Q22"/>
      <c r="R22"/>
      <c r="S22"/>
      <c r="T22"/>
    </row>
    <row r="23" spans="2:20" x14ac:dyDescent="0.3">
      <c r="B23" s="3" t="s">
        <v>42</v>
      </c>
      <c r="C23" s="3" t="s">
        <v>17</v>
      </c>
      <c r="D23" s="3" t="s">
        <v>20</v>
      </c>
      <c r="E23" s="3" t="s">
        <v>12</v>
      </c>
      <c r="F23" s="12">
        <v>35083</v>
      </c>
      <c r="G23" s="3">
        <v>73</v>
      </c>
      <c r="H23" s="3">
        <v>72</v>
      </c>
      <c r="I23" s="3">
        <v>145</v>
      </c>
      <c r="J23" s="3">
        <v>72.5</v>
      </c>
    </row>
    <row r="24" spans="2:20" x14ac:dyDescent="0.3">
      <c r="B24" s="3" t="s">
        <v>43</v>
      </c>
      <c r="C24" s="3" t="s">
        <v>10</v>
      </c>
      <c r="D24" s="3" t="s">
        <v>31</v>
      </c>
      <c r="E24" s="3" t="s">
        <v>12</v>
      </c>
      <c r="F24" s="12">
        <v>35613</v>
      </c>
      <c r="G24" s="3">
        <v>72</v>
      </c>
      <c r="H24" s="3">
        <v>91</v>
      </c>
      <c r="I24" s="3">
        <v>163</v>
      </c>
      <c r="J24" s="3">
        <v>81.5</v>
      </c>
    </row>
    <row r="25" spans="2:20" x14ac:dyDescent="0.3">
      <c r="B25" s="3" t="s">
        <v>44</v>
      </c>
      <c r="C25" s="3" t="s">
        <v>29</v>
      </c>
      <c r="D25" s="3" t="s">
        <v>31</v>
      </c>
      <c r="E25" s="3" t="s">
        <v>12</v>
      </c>
      <c r="F25" s="12">
        <v>36993</v>
      </c>
      <c r="G25" s="3">
        <v>83</v>
      </c>
      <c r="H25" s="3">
        <v>93</v>
      </c>
      <c r="I25" s="3">
        <v>176</v>
      </c>
      <c r="J25" s="3">
        <v>88</v>
      </c>
    </row>
    <row r="26" spans="2:20" x14ac:dyDescent="0.3">
      <c r="B26" s="3" t="s">
        <v>45</v>
      </c>
      <c r="C26" s="3" t="s">
        <v>22</v>
      </c>
      <c r="D26" s="3" t="s">
        <v>11</v>
      </c>
      <c r="E26" s="3" t="s">
        <v>12</v>
      </c>
      <c r="F26" s="12">
        <v>41312</v>
      </c>
      <c r="G26" s="3">
        <v>92</v>
      </c>
      <c r="H26" s="3">
        <v>99</v>
      </c>
      <c r="I26" s="3">
        <v>191</v>
      </c>
      <c r="J26" s="3">
        <v>95.5</v>
      </c>
    </row>
    <row r="27" spans="2:20" x14ac:dyDescent="0.3">
      <c r="B27" s="3" t="s">
        <v>46</v>
      </c>
      <c r="C27" s="3" t="s">
        <v>38</v>
      </c>
      <c r="D27" s="3" t="s">
        <v>11</v>
      </c>
      <c r="E27" s="3" t="s">
        <v>15</v>
      </c>
      <c r="F27" s="12">
        <v>41278</v>
      </c>
      <c r="G27" s="3">
        <v>91</v>
      </c>
      <c r="H27" s="3">
        <v>60</v>
      </c>
      <c r="I27" s="3">
        <v>151</v>
      </c>
      <c r="J27" s="3">
        <v>75.5</v>
      </c>
    </row>
    <row r="28" spans="2:20" x14ac:dyDescent="0.3">
      <c r="B28" s="3" t="s">
        <v>47</v>
      </c>
      <c r="C28" s="3" t="s">
        <v>27</v>
      </c>
      <c r="D28" s="3" t="s">
        <v>23</v>
      </c>
      <c r="E28" s="3" t="s">
        <v>15</v>
      </c>
      <c r="F28" s="12">
        <v>40816</v>
      </c>
      <c r="G28" s="3">
        <v>69</v>
      </c>
      <c r="H28" s="3">
        <v>86</v>
      </c>
      <c r="I28" s="3">
        <v>155</v>
      </c>
      <c r="J28" s="3">
        <v>77.5</v>
      </c>
    </row>
    <row r="29" spans="2:20" x14ac:dyDescent="0.3">
      <c r="B29" s="3" t="s">
        <v>48</v>
      </c>
      <c r="C29" s="3" t="s">
        <v>14</v>
      </c>
      <c r="D29" s="3" t="s">
        <v>35</v>
      </c>
      <c r="E29" s="3" t="s">
        <v>12</v>
      </c>
      <c r="F29" s="12">
        <v>38980</v>
      </c>
      <c r="G29" s="3">
        <v>87</v>
      </c>
      <c r="H29" s="3">
        <v>92</v>
      </c>
      <c r="I29" s="3">
        <v>179</v>
      </c>
      <c r="J29" s="3">
        <v>89.5</v>
      </c>
    </row>
    <row r="30" spans="2:20" x14ac:dyDescent="0.3">
      <c r="B30" s="3" t="s">
        <v>49</v>
      </c>
      <c r="C30" s="3" t="s">
        <v>22</v>
      </c>
      <c r="D30" s="3" t="s">
        <v>31</v>
      </c>
      <c r="E30" s="3" t="s">
        <v>15</v>
      </c>
      <c r="F30" s="12">
        <v>37049</v>
      </c>
      <c r="G30" s="3">
        <v>92</v>
      </c>
      <c r="H30" s="3">
        <v>91</v>
      </c>
      <c r="I30" s="3">
        <v>183</v>
      </c>
      <c r="J30" s="3">
        <v>91.5</v>
      </c>
    </row>
    <row r="31" spans="2:20" x14ac:dyDescent="0.3">
      <c r="B31" s="3" t="s">
        <v>50</v>
      </c>
      <c r="C31" s="3" t="s">
        <v>22</v>
      </c>
      <c r="D31" s="3" t="s">
        <v>11</v>
      </c>
      <c r="E31" s="3" t="s">
        <v>12</v>
      </c>
      <c r="F31" s="12">
        <v>41568</v>
      </c>
      <c r="G31" s="3">
        <v>78</v>
      </c>
      <c r="H31" s="3">
        <v>78</v>
      </c>
      <c r="I31" s="3">
        <v>156</v>
      </c>
      <c r="J31" s="3">
        <v>78</v>
      </c>
    </row>
    <row r="32" spans="2:20" x14ac:dyDescent="0.3">
      <c r="B32" s="3" t="s">
        <v>51</v>
      </c>
      <c r="C32" s="3" t="s">
        <v>22</v>
      </c>
      <c r="D32" s="3" t="s">
        <v>35</v>
      </c>
      <c r="E32" s="3" t="s">
        <v>12</v>
      </c>
      <c r="F32" s="12">
        <v>37418</v>
      </c>
      <c r="G32" s="3">
        <v>81</v>
      </c>
      <c r="H32" s="3">
        <v>78</v>
      </c>
      <c r="I32" s="3">
        <v>159</v>
      </c>
      <c r="J32" s="3">
        <v>79.5</v>
      </c>
    </row>
    <row r="33" spans="2:10" x14ac:dyDescent="0.3">
      <c r="B33" s="3" t="s">
        <v>52</v>
      </c>
      <c r="C33" s="3" t="s">
        <v>53</v>
      </c>
      <c r="D33" s="3" t="s">
        <v>20</v>
      </c>
      <c r="E33" s="3" t="s">
        <v>15</v>
      </c>
      <c r="F33" s="12">
        <v>35235</v>
      </c>
      <c r="G33" s="3">
        <v>88</v>
      </c>
      <c r="H33" s="3">
        <v>92</v>
      </c>
      <c r="I33" s="3">
        <v>180</v>
      </c>
      <c r="J33" s="3">
        <v>90</v>
      </c>
    </row>
    <row r="34" spans="2:10" x14ac:dyDescent="0.3">
      <c r="B34" s="3" t="s">
        <v>54</v>
      </c>
      <c r="C34" s="3" t="s">
        <v>27</v>
      </c>
      <c r="D34" s="3" t="s">
        <v>35</v>
      </c>
      <c r="E34" s="3" t="s">
        <v>12</v>
      </c>
      <c r="F34" s="12">
        <v>38672</v>
      </c>
      <c r="G34" s="3">
        <v>75</v>
      </c>
      <c r="H34" s="3">
        <v>70</v>
      </c>
      <c r="I34" s="3">
        <v>145</v>
      </c>
      <c r="J34" s="3">
        <v>72.5</v>
      </c>
    </row>
    <row r="35" spans="2:10" x14ac:dyDescent="0.3">
      <c r="B35" s="3" t="s">
        <v>55</v>
      </c>
      <c r="C35" s="3" t="s">
        <v>17</v>
      </c>
      <c r="D35" s="3" t="s">
        <v>23</v>
      </c>
      <c r="E35" s="3" t="s">
        <v>12</v>
      </c>
      <c r="F35" s="12">
        <v>40826</v>
      </c>
      <c r="G35" s="3">
        <v>94</v>
      </c>
      <c r="H35" s="3">
        <v>84</v>
      </c>
      <c r="I35" s="3">
        <v>178</v>
      </c>
      <c r="J35" s="3">
        <v>89</v>
      </c>
    </row>
    <row r="36" spans="2:10" x14ac:dyDescent="0.3">
      <c r="B36" s="3" t="s">
        <v>56</v>
      </c>
      <c r="C36" s="3" t="s">
        <v>17</v>
      </c>
      <c r="D36" s="3" t="s">
        <v>35</v>
      </c>
      <c r="E36" s="3" t="s">
        <v>15</v>
      </c>
      <c r="F36" s="12">
        <v>38758</v>
      </c>
      <c r="G36" s="3">
        <v>67</v>
      </c>
      <c r="H36" s="3">
        <v>74</v>
      </c>
      <c r="I36" s="3">
        <v>141</v>
      </c>
      <c r="J36" s="3">
        <v>70.5</v>
      </c>
    </row>
    <row r="37" spans="2:10" x14ac:dyDescent="0.3">
      <c r="B37" s="3" t="s">
        <v>57</v>
      </c>
      <c r="C37" s="3" t="s">
        <v>27</v>
      </c>
      <c r="D37" s="3" t="s">
        <v>20</v>
      </c>
      <c r="E37" s="3" t="s">
        <v>12</v>
      </c>
      <c r="F37" s="12">
        <v>35257</v>
      </c>
      <c r="G37" s="3">
        <v>73</v>
      </c>
      <c r="H37" s="3">
        <v>99</v>
      </c>
      <c r="I37" s="3">
        <v>172</v>
      </c>
      <c r="J37" s="3">
        <v>86</v>
      </c>
    </row>
    <row r="38" spans="2:10" x14ac:dyDescent="0.3">
      <c r="B38" s="3" t="s">
        <v>58</v>
      </c>
      <c r="C38" s="3" t="s">
        <v>27</v>
      </c>
      <c r="D38" s="3" t="s">
        <v>23</v>
      </c>
      <c r="E38" s="3" t="s">
        <v>15</v>
      </c>
      <c r="F38" s="12">
        <v>39168</v>
      </c>
      <c r="G38" s="3">
        <v>87</v>
      </c>
      <c r="H38" s="3">
        <v>87</v>
      </c>
      <c r="I38" s="3">
        <v>174</v>
      </c>
      <c r="J38" s="3">
        <v>87</v>
      </c>
    </row>
    <row r="39" spans="2:10" x14ac:dyDescent="0.3">
      <c r="B39" s="3" t="s">
        <v>59</v>
      </c>
      <c r="C39" s="3" t="s">
        <v>25</v>
      </c>
      <c r="D39" s="3" t="s">
        <v>35</v>
      </c>
      <c r="E39" s="3" t="s">
        <v>12</v>
      </c>
      <c r="F39" s="12">
        <v>37335</v>
      </c>
      <c r="G39" s="3">
        <v>91</v>
      </c>
      <c r="H39" s="3">
        <v>77</v>
      </c>
      <c r="I39" s="3">
        <v>168</v>
      </c>
      <c r="J39" s="3">
        <v>84</v>
      </c>
    </row>
    <row r="40" spans="2:10" x14ac:dyDescent="0.3">
      <c r="B40" s="3" t="s">
        <v>60</v>
      </c>
      <c r="C40" s="3" t="s">
        <v>53</v>
      </c>
      <c r="D40" s="3" t="s">
        <v>11</v>
      </c>
      <c r="E40" s="3" t="s">
        <v>12</v>
      </c>
      <c r="F40" s="12">
        <v>40710</v>
      </c>
      <c r="G40" s="3">
        <v>66</v>
      </c>
      <c r="H40" s="3">
        <v>71</v>
      </c>
      <c r="I40" s="3">
        <v>137</v>
      </c>
      <c r="J40" s="3">
        <v>68.5</v>
      </c>
    </row>
    <row r="41" spans="2:10" x14ac:dyDescent="0.3">
      <c r="B41" s="3" t="s">
        <v>61</v>
      </c>
      <c r="C41" s="3" t="s">
        <v>38</v>
      </c>
      <c r="D41" s="3" t="s">
        <v>23</v>
      </c>
      <c r="E41" s="3" t="s">
        <v>15</v>
      </c>
      <c r="F41" s="12">
        <v>40788</v>
      </c>
      <c r="G41" s="3">
        <v>67</v>
      </c>
      <c r="H41" s="3">
        <v>60</v>
      </c>
      <c r="I41" s="3">
        <v>127</v>
      </c>
      <c r="J41" s="3">
        <v>63.5</v>
      </c>
    </row>
    <row r="42" spans="2:10" x14ac:dyDescent="0.3">
      <c r="B42" s="3" t="s">
        <v>62</v>
      </c>
      <c r="C42" s="3" t="s">
        <v>10</v>
      </c>
      <c r="D42" s="3" t="s">
        <v>35</v>
      </c>
      <c r="E42" s="3" t="s">
        <v>12</v>
      </c>
      <c r="F42" s="12">
        <v>38660</v>
      </c>
      <c r="G42" s="3">
        <v>88</v>
      </c>
      <c r="H42" s="3">
        <v>74</v>
      </c>
      <c r="I42" s="3">
        <v>162</v>
      </c>
      <c r="J42" s="3">
        <v>81</v>
      </c>
    </row>
    <row r="43" spans="2:10" x14ac:dyDescent="0.3">
      <c r="B43" s="3" t="s">
        <v>63</v>
      </c>
      <c r="C43" s="3" t="s">
        <v>27</v>
      </c>
      <c r="D43" s="3" t="s">
        <v>23</v>
      </c>
      <c r="E43" s="3" t="s">
        <v>12</v>
      </c>
      <c r="F43" s="12">
        <v>38891</v>
      </c>
      <c r="G43" s="3">
        <v>92</v>
      </c>
      <c r="H43" s="3">
        <v>94</v>
      </c>
      <c r="I43" s="3">
        <v>186</v>
      </c>
      <c r="J43" s="3">
        <v>93</v>
      </c>
    </row>
    <row r="44" spans="2:10" x14ac:dyDescent="0.3">
      <c r="B44" s="3" t="s">
        <v>64</v>
      </c>
      <c r="C44" s="3" t="s">
        <v>27</v>
      </c>
      <c r="D44" s="3" t="s">
        <v>31</v>
      </c>
      <c r="E44" s="3" t="s">
        <v>12</v>
      </c>
      <c r="F44" s="12">
        <v>36171</v>
      </c>
      <c r="G44" s="3">
        <v>84</v>
      </c>
      <c r="H44" s="3">
        <v>94</v>
      </c>
      <c r="I44" s="3">
        <v>178</v>
      </c>
      <c r="J44" s="3">
        <v>89</v>
      </c>
    </row>
    <row r="45" spans="2:10" x14ac:dyDescent="0.3">
      <c r="B45" s="3" t="s">
        <v>65</v>
      </c>
      <c r="C45" s="3" t="s">
        <v>14</v>
      </c>
      <c r="D45" s="3" t="s">
        <v>23</v>
      </c>
      <c r="E45" s="3" t="s">
        <v>12</v>
      </c>
      <c r="F45" s="12">
        <v>39157</v>
      </c>
      <c r="G45" s="3">
        <v>84</v>
      </c>
      <c r="H45" s="3">
        <v>62</v>
      </c>
      <c r="I45" s="3">
        <v>146</v>
      </c>
      <c r="J45" s="3">
        <v>73</v>
      </c>
    </row>
    <row r="46" spans="2:10" x14ac:dyDescent="0.3">
      <c r="B46" s="3" t="s">
        <v>66</v>
      </c>
      <c r="C46" s="3" t="s">
        <v>27</v>
      </c>
      <c r="D46" s="3" t="s">
        <v>11</v>
      </c>
      <c r="E46" s="3" t="s">
        <v>12</v>
      </c>
      <c r="F46" s="12">
        <v>41589</v>
      </c>
      <c r="G46" s="3">
        <v>68</v>
      </c>
      <c r="H46" s="3">
        <v>73</v>
      </c>
      <c r="I46" s="3">
        <v>141</v>
      </c>
      <c r="J46" s="3">
        <v>70.5</v>
      </c>
    </row>
    <row r="47" spans="2:10" x14ac:dyDescent="0.3">
      <c r="B47" s="3" t="s">
        <v>67</v>
      </c>
      <c r="C47" s="3" t="s">
        <v>68</v>
      </c>
      <c r="D47" s="3" t="s">
        <v>23</v>
      </c>
      <c r="E47" s="3" t="s">
        <v>15</v>
      </c>
      <c r="F47" s="12">
        <v>40080</v>
      </c>
      <c r="G47" s="3">
        <v>63</v>
      </c>
      <c r="H47" s="3">
        <v>62</v>
      </c>
      <c r="I47" s="3">
        <v>125</v>
      </c>
      <c r="J47" s="3">
        <v>62.5</v>
      </c>
    </row>
    <row r="48" spans="2:10" x14ac:dyDescent="0.3">
      <c r="B48" s="3" t="s">
        <v>69</v>
      </c>
      <c r="C48" s="3" t="s">
        <v>14</v>
      </c>
      <c r="D48" s="3" t="s">
        <v>31</v>
      </c>
      <c r="E48" s="3" t="s">
        <v>15</v>
      </c>
      <c r="F48" s="12">
        <v>35727</v>
      </c>
      <c r="G48" s="3">
        <v>88</v>
      </c>
      <c r="H48" s="3">
        <v>85</v>
      </c>
      <c r="I48" s="3">
        <v>173</v>
      </c>
      <c r="J48" s="3">
        <v>86.5</v>
      </c>
    </row>
    <row r="49" spans="2:10" x14ac:dyDescent="0.3">
      <c r="B49" s="3" t="s">
        <v>70</v>
      </c>
      <c r="C49" s="3" t="s">
        <v>27</v>
      </c>
      <c r="D49" s="3" t="s">
        <v>11</v>
      </c>
      <c r="E49" s="3" t="s">
        <v>12</v>
      </c>
      <c r="F49" s="12">
        <v>40883</v>
      </c>
      <c r="G49" s="3">
        <v>62</v>
      </c>
      <c r="H49" s="3">
        <v>95</v>
      </c>
      <c r="I49" s="3">
        <v>157</v>
      </c>
      <c r="J49" s="3">
        <v>78.5</v>
      </c>
    </row>
    <row r="50" spans="2:10" x14ac:dyDescent="0.3">
      <c r="B50" s="3" t="s">
        <v>71</v>
      </c>
      <c r="C50" s="3" t="s">
        <v>27</v>
      </c>
      <c r="D50" s="3" t="s">
        <v>11</v>
      </c>
      <c r="E50" s="3" t="s">
        <v>15</v>
      </c>
      <c r="F50" s="12">
        <v>41337</v>
      </c>
      <c r="G50" s="3">
        <v>95</v>
      </c>
      <c r="H50" s="3">
        <v>72</v>
      </c>
      <c r="I50" s="3">
        <v>167</v>
      </c>
      <c r="J50" s="3">
        <v>83.5</v>
      </c>
    </row>
    <row r="51" spans="2:10" x14ac:dyDescent="0.3">
      <c r="B51" s="3" t="s">
        <v>72</v>
      </c>
      <c r="C51" s="3" t="s">
        <v>17</v>
      </c>
      <c r="D51" s="3" t="s">
        <v>11</v>
      </c>
      <c r="E51" s="3" t="s">
        <v>12</v>
      </c>
      <c r="F51" s="12">
        <v>40683</v>
      </c>
      <c r="G51" s="3">
        <v>93</v>
      </c>
      <c r="H51" s="3">
        <v>69</v>
      </c>
      <c r="I51" s="3">
        <v>162</v>
      </c>
      <c r="J51" s="3">
        <v>81</v>
      </c>
    </row>
    <row r="52" spans="2:10" x14ac:dyDescent="0.3">
      <c r="B52" s="3" t="s">
        <v>73</v>
      </c>
      <c r="C52" s="3" t="s">
        <v>27</v>
      </c>
      <c r="D52" s="3" t="s">
        <v>31</v>
      </c>
      <c r="E52" s="3" t="s">
        <v>12</v>
      </c>
      <c r="F52" s="12">
        <v>36843</v>
      </c>
      <c r="G52" s="3">
        <v>79</v>
      </c>
      <c r="H52" s="3">
        <v>71</v>
      </c>
      <c r="I52" s="3">
        <v>150</v>
      </c>
      <c r="J52" s="3">
        <v>75</v>
      </c>
    </row>
    <row r="53" spans="2:10" x14ac:dyDescent="0.3">
      <c r="B53" s="3" t="s">
        <v>74</v>
      </c>
      <c r="C53" s="3" t="s">
        <v>17</v>
      </c>
      <c r="D53" s="3" t="s">
        <v>35</v>
      </c>
      <c r="E53" s="3" t="s">
        <v>12</v>
      </c>
      <c r="F53" s="12">
        <v>37285</v>
      </c>
      <c r="G53" s="3">
        <v>69</v>
      </c>
      <c r="H53" s="3">
        <v>88</v>
      </c>
      <c r="I53" s="3">
        <v>157</v>
      </c>
      <c r="J53" s="3">
        <v>78.5</v>
      </c>
    </row>
    <row r="54" spans="2:10" x14ac:dyDescent="0.3">
      <c r="B54" s="3" t="s">
        <v>75</v>
      </c>
      <c r="C54" s="3" t="s">
        <v>53</v>
      </c>
      <c r="D54" s="3" t="s">
        <v>11</v>
      </c>
      <c r="E54" s="3" t="s">
        <v>15</v>
      </c>
      <c r="F54" s="12">
        <v>42699</v>
      </c>
      <c r="G54" s="3">
        <v>95</v>
      </c>
      <c r="H54" s="3">
        <v>83</v>
      </c>
      <c r="I54" s="3">
        <v>178</v>
      </c>
      <c r="J54" s="3">
        <v>89</v>
      </c>
    </row>
    <row r="55" spans="2:10" x14ac:dyDescent="0.3">
      <c r="B55" s="3" t="s">
        <v>76</v>
      </c>
      <c r="C55" s="3" t="s">
        <v>27</v>
      </c>
      <c r="D55" s="3" t="s">
        <v>11</v>
      </c>
      <c r="E55" s="3" t="s">
        <v>15</v>
      </c>
      <c r="F55" s="12">
        <v>42667</v>
      </c>
      <c r="G55" s="3">
        <v>64</v>
      </c>
      <c r="H55" s="3">
        <v>87</v>
      </c>
      <c r="I55" s="3">
        <v>151</v>
      </c>
      <c r="J55" s="3">
        <v>75.5</v>
      </c>
    </row>
    <row r="56" spans="2:10" x14ac:dyDescent="0.3">
      <c r="B56" s="3" t="s">
        <v>77</v>
      </c>
      <c r="C56" s="3" t="s">
        <v>17</v>
      </c>
      <c r="D56" s="3" t="s">
        <v>23</v>
      </c>
      <c r="E56" s="3" t="s">
        <v>12</v>
      </c>
      <c r="F56" s="12">
        <v>39605</v>
      </c>
      <c r="G56" s="3">
        <v>93</v>
      </c>
      <c r="H56" s="3">
        <v>64</v>
      </c>
      <c r="I56" s="3">
        <v>157</v>
      </c>
      <c r="J56" s="3">
        <v>78.5</v>
      </c>
    </row>
    <row r="57" spans="2:10" x14ac:dyDescent="0.3">
      <c r="B57" s="3" t="s">
        <v>78</v>
      </c>
      <c r="C57" s="3" t="s">
        <v>29</v>
      </c>
      <c r="D57" s="3" t="s">
        <v>23</v>
      </c>
      <c r="E57" s="3" t="s">
        <v>12</v>
      </c>
      <c r="F57" s="12">
        <v>40240</v>
      </c>
      <c r="G57" s="3">
        <v>67</v>
      </c>
      <c r="H57" s="3">
        <v>73</v>
      </c>
      <c r="I57" s="3">
        <v>140</v>
      </c>
      <c r="J57" s="3">
        <v>70</v>
      </c>
    </row>
    <row r="58" spans="2:10" x14ac:dyDescent="0.3">
      <c r="B58" s="3" t="s">
        <v>79</v>
      </c>
      <c r="C58" s="3" t="s">
        <v>22</v>
      </c>
      <c r="D58" s="3" t="s">
        <v>23</v>
      </c>
      <c r="E58" s="3" t="s">
        <v>12</v>
      </c>
      <c r="F58" s="12">
        <v>39542</v>
      </c>
      <c r="G58" s="3">
        <v>73</v>
      </c>
      <c r="H58" s="3">
        <v>60</v>
      </c>
      <c r="I58" s="3">
        <v>133</v>
      </c>
      <c r="J58" s="3">
        <v>66.5</v>
      </c>
    </row>
    <row r="59" spans="2:10" x14ac:dyDescent="0.3">
      <c r="B59" s="3" t="s">
        <v>80</v>
      </c>
      <c r="C59" s="3" t="s">
        <v>53</v>
      </c>
      <c r="D59" s="3" t="s">
        <v>23</v>
      </c>
      <c r="E59" s="3" t="s">
        <v>12</v>
      </c>
      <c r="F59" s="12">
        <v>40765</v>
      </c>
      <c r="G59" s="3">
        <v>60</v>
      </c>
      <c r="H59" s="3">
        <v>75</v>
      </c>
      <c r="I59" s="3">
        <v>135</v>
      </c>
      <c r="J59" s="3">
        <v>67.5</v>
      </c>
    </row>
    <row r="60" spans="2:10" x14ac:dyDescent="0.3">
      <c r="B60" s="3" t="s">
        <v>81</v>
      </c>
      <c r="C60" s="3" t="s">
        <v>10</v>
      </c>
      <c r="D60" s="3" t="s">
        <v>23</v>
      </c>
      <c r="E60" s="3" t="s">
        <v>12</v>
      </c>
      <c r="F60" s="12">
        <v>38912</v>
      </c>
      <c r="G60" s="3">
        <v>85</v>
      </c>
      <c r="H60" s="3">
        <v>94</v>
      </c>
      <c r="I60" s="3">
        <v>179</v>
      </c>
      <c r="J60" s="3">
        <v>89.5</v>
      </c>
    </row>
    <row r="61" spans="2:10" x14ac:dyDescent="0.3">
      <c r="B61" s="3" t="s">
        <v>82</v>
      </c>
      <c r="C61" s="3" t="s">
        <v>17</v>
      </c>
      <c r="D61" s="3" t="s">
        <v>31</v>
      </c>
      <c r="E61" s="3" t="s">
        <v>12</v>
      </c>
      <c r="F61" s="12">
        <v>37152</v>
      </c>
      <c r="G61" s="3">
        <v>97</v>
      </c>
      <c r="H61" s="3">
        <v>83</v>
      </c>
      <c r="I61" s="3">
        <v>180</v>
      </c>
      <c r="J61" s="3">
        <v>90</v>
      </c>
    </row>
    <row r="62" spans="2:10" x14ac:dyDescent="0.3">
      <c r="B62" s="3" t="s">
        <v>83</v>
      </c>
      <c r="C62" s="3" t="s">
        <v>25</v>
      </c>
      <c r="D62" s="3" t="s">
        <v>23</v>
      </c>
      <c r="E62" s="3" t="s">
        <v>12</v>
      </c>
      <c r="F62" s="12">
        <v>39779</v>
      </c>
      <c r="G62" s="3">
        <v>91</v>
      </c>
      <c r="H62" s="3">
        <v>84</v>
      </c>
      <c r="I62" s="3">
        <v>175</v>
      </c>
      <c r="J62" s="3">
        <v>87.5</v>
      </c>
    </row>
    <row r="63" spans="2:10" x14ac:dyDescent="0.3">
      <c r="B63" s="3" t="s">
        <v>84</v>
      </c>
      <c r="C63" s="3" t="s">
        <v>25</v>
      </c>
      <c r="D63" s="3" t="s">
        <v>23</v>
      </c>
      <c r="E63" s="3" t="s">
        <v>12</v>
      </c>
      <c r="F63" s="12">
        <v>40200</v>
      </c>
      <c r="G63" s="3">
        <v>75</v>
      </c>
      <c r="H63" s="3">
        <v>75</v>
      </c>
      <c r="I63" s="3">
        <v>150</v>
      </c>
      <c r="J63" s="3">
        <v>75</v>
      </c>
    </row>
    <row r="64" spans="2:10" x14ac:dyDescent="0.3">
      <c r="B64" s="3" t="s">
        <v>85</v>
      </c>
      <c r="C64" s="3" t="s">
        <v>25</v>
      </c>
      <c r="D64" s="3" t="s">
        <v>23</v>
      </c>
      <c r="E64" s="3" t="s">
        <v>12</v>
      </c>
      <c r="F64" s="12">
        <v>41030</v>
      </c>
      <c r="G64" s="3">
        <v>80</v>
      </c>
      <c r="H64" s="3">
        <v>79</v>
      </c>
      <c r="I64" s="3">
        <v>159</v>
      </c>
      <c r="J64" s="3">
        <v>79.5</v>
      </c>
    </row>
    <row r="65" spans="2:10" x14ac:dyDescent="0.3">
      <c r="B65" s="3" t="s">
        <v>86</v>
      </c>
      <c r="C65" s="3" t="s">
        <v>53</v>
      </c>
      <c r="D65" s="3" t="s">
        <v>31</v>
      </c>
      <c r="E65" s="3" t="s">
        <v>15</v>
      </c>
      <c r="F65" s="12">
        <v>36255</v>
      </c>
      <c r="G65" s="3">
        <v>87</v>
      </c>
      <c r="H65" s="3">
        <v>97</v>
      </c>
      <c r="I65" s="3">
        <v>184</v>
      </c>
      <c r="J65" s="3">
        <v>92</v>
      </c>
    </row>
    <row r="66" spans="2:10" x14ac:dyDescent="0.3">
      <c r="B66" s="3" t="s">
        <v>87</v>
      </c>
      <c r="C66" s="3" t="s">
        <v>68</v>
      </c>
      <c r="D66" s="3" t="s">
        <v>20</v>
      </c>
      <c r="E66" s="3" t="s">
        <v>12</v>
      </c>
      <c r="F66" s="12">
        <v>36419</v>
      </c>
      <c r="G66" s="3">
        <v>61</v>
      </c>
      <c r="H66" s="3">
        <v>71</v>
      </c>
      <c r="I66" s="3">
        <v>132</v>
      </c>
      <c r="J66" s="3">
        <v>66</v>
      </c>
    </row>
    <row r="67" spans="2:10" x14ac:dyDescent="0.3">
      <c r="B67" s="3" t="s">
        <v>88</v>
      </c>
      <c r="C67" s="3" t="s">
        <v>27</v>
      </c>
      <c r="D67" s="3" t="s">
        <v>35</v>
      </c>
      <c r="E67" s="3" t="s">
        <v>12</v>
      </c>
      <c r="F67" s="12">
        <v>38847</v>
      </c>
      <c r="G67" s="3">
        <v>99</v>
      </c>
      <c r="H67" s="3">
        <v>75</v>
      </c>
      <c r="I67" s="3">
        <v>174</v>
      </c>
      <c r="J67" s="3">
        <v>87</v>
      </c>
    </row>
    <row r="68" spans="2:10" x14ac:dyDescent="0.3">
      <c r="B68" s="3" t="s">
        <v>89</v>
      </c>
      <c r="C68" s="3" t="s">
        <v>53</v>
      </c>
      <c r="D68" s="3" t="s">
        <v>35</v>
      </c>
      <c r="E68" s="3" t="s">
        <v>15</v>
      </c>
      <c r="F68" s="12">
        <v>38987</v>
      </c>
      <c r="G68" s="3">
        <v>75</v>
      </c>
      <c r="H68" s="3">
        <v>61</v>
      </c>
      <c r="I68" s="3">
        <v>136</v>
      </c>
      <c r="J68" s="3">
        <v>68</v>
      </c>
    </row>
    <row r="69" spans="2:10" x14ac:dyDescent="0.3">
      <c r="B69" s="3" t="s">
        <v>90</v>
      </c>
      <c r="C69" s="3" t="s">
        <v>29</v>
      </c>
      <c r="D69" s="3" t="s">
        <v>11</v>
      </c>
      <c r="E69" s="3" t="s">
        <v>15</v>
      </c>
      <c r="F69" s="12">
        <v>41157</v>
      </c>
      <c r="G69" s="3">
        <v>77</v>
      </c>
      <c r="H69" s="3">
        <v>63</v>
      </c>
      <c r="I69" s="3">
        <v>140</v>
      </c>
      <c r="J69" s="3">
        <v>70</v>
      </c>
    </row>
    <row r="70" spans="2:10" x14ac:dyDescent="0.3">
      <c r="B70" s="3" t="s">
        <v>91</v>
      </c>
      <c r="C70" s="3" t="s">
        <v>29</v>
      </c>
      <c r="D70" s="3" t="s">
        <v>35</v>
      </c>
      <c r="E70" s="3" t="s">
        <v>12</v>
      </c>
      <c r="F70" s="12">
        <v>38828</v>
      </c>
      <c r="G70" s="3">
        <v>60</v>
      </c>
      <c r="H70" s="3">
        <v>86</v>
      </c>
      <c r="I70" s="3">
        <v>146</v>
      </c>
      <c r="J70" s="3">
        <v>73</v>
      </c>
    </row>
    <row r="71" spans="2:10" x14ac:dyDescent="0.3">
      <c r="B71" s="3" t="s">
        <v>92</v>
      </c>
      <c r="C71" s="3" t="s">
        <v>22</v>
      </c>
      <c r="D71" s="3" t="s">
        <v>20</v>
      </c>
      <c r="E71" s="3" t="s">
        <v>12</v>
      </c>
      <c r="F71" s="12">
        <v>36441</v>
      </c>
      <c r="G71" s="3">
        <v>97</v>
      </c>
      <c r="H71" s="3">
        <v>94</v>
      </c>
      <c r="I71" s="3">
        <v>191</v>
      </c>
      <c r="J71" s="3">
        <v>95.5</v>
      </c>
    </row>
    <row r="72" spans="2:10" x14ac:dyDescent="0.3">
      <c r="B72" s="3" t="s">
        <v>93</v>
      </c>
      <c r="C72" s="3" t="s">
        <v>25</v>
      </c>
      <c r="D72" s="3" t="s">
        <v>20</v>
      </c>
      <c r="E72" s="3" t="s">
        <v>12</v>
      </c>
      <c r="F72" s="12">
        <v>35908</v>
      </c>
      <c r="G72" s="3">
        <v>75</v>
      </c>
      <c r="H72" s="3">
        <v>90</v>
      </c>
      <c r="I72" s="3">
        <v>165</v>
      </c>
      <c r="J72" s="3">
        <v>82.5</v>
      </c>
    </row>
    <row r="73" spans="2:10" x14ac:dyDescent="0.3">
      <c r="B73" s="3" t="s">
        <v>94</v>
      </c>
      <c r="C73" s="3" t="s">
        <v>68</v>
      </c>
      <c r="D73" s="3" t="s">
        <v>11</v>
      </c>
      <c r="E73" s="3" t="s">
        <v>12</v>
      </c>
      <c r="F73" s="12">
        <v>41765</v>
      </c>
      <c r="G73" s="3">
        <v>81</v>
      </c>
      <c r="H73" s="3">
        <v>65</v>
      </c>
      <c r="I73" s="3">
        <v>146</v>
      </c>
      <c r="J73" s="3">
        <v>73</v>
      </c>
    </row>
    <row r="74" spans="2:10" x14ac:dyDescent="0.3">
      <c r="B74" s="3" t="s">
        <v>95</v>
      </c>
      <c r="C74" s="3" t="s">
        <v>10</v>
      </c>
      <c r="D74" s="3" t="s">
        <v>23</v>
      </c>
      <c r="E74" s="3" t="s">
        <v>12</v>
      </c>
      <c r="F74" s="12">
        <v>38889</v>
      </c>
      <c r="G74" s="3">
        <v>62</v>
      </c>
      <c r="H74" s="3">
        <v>70</v>
      </c>
      <c r="I74" s="3">
        <v>132</v>
      </c>
      <c r="J74" s="3">
        <v>66</v>
      </c>
    </row>
    <row r="75" spans="2:10" x14ac:dyDescent="0.3">
      <c r="B75" s="3" t="s">
        <v>96</v>
      </c>
      <c r="C75" s="3" t="s">
        <v>25</v>
      </c>
      <c r="D75" s="3" t="s">
        <v>11</v>
      </c>
      <c r="E75" s="3" t="s">
        <v>12</v>
      </c>
      <c r="F75" s="12">
        <v>41873</v>
      </c>
      <c r="G75" s="3">
        <v>76</v>
      </c>
      <c r="H75" s="3">
        <v>89</v>
      </c>
      <c r="I75" s="3">
        <v>165</v>
      </c>
      <c r="J75" s="3">
        <v>82.5</v>
      </c>
    </row>
    <row r="76" spans="2:10" x14ac:dyDescent="0.3">
      <c r="B76" s="3" t="s">
        <v>97</v>
      </c>
      <c r="C76" s="3" t="s">
        <v>22</v>
      </c>
      <c r="D76" s="3" t="s">
        <v>23</v>
      </c>
      <c r="E76" s="3" t="s">
        <v>12</v>
      </c>
      <c r="F76" s="12">
        <v>40102</v>
      </c>
      <c r="G76" s="3">
        <v>62</v>
      </c>
      <c r="H76" s="3">
        <v>67</v>
      </c>
      <c r="I76" s="3">
        <v>129</v>
      </c>
      <c r="J76" s="3">
        <v>64.5</v>
      </c>
    </row>
    <row r="77" spans="2:10" x14ac:dyDescent="0.3">
      <c r="B77" s="3" t="s">
        <v>98</v>
      </c>
      <c r="C77" s="3" t="s">
        <v>22</v>
      </c>
      <c r="D77" s="3" t="s">
        <v>11</v>
      </c>
      <c r="E77" s="3" t="s">
        <v>12</v>
      </c>
      <c r="F77" s="12">
        <v>41914</v>
      </c>
      <c r="G77" s="3">
        <v>99</v>
      </c>
      <c r="H77" s="3">
        <v>90</v>
      </c>
      <c r="I77" s="3">
        <v>189</v>
      </c>
      <c r="J77" s="3">
        <v>94.5</v>
      </c>
    </row>
    <row r="78" spans="2:10" x14ac:dyDescent="0.3">
      <c r="B78" s="3" t="s">
        <v>99</v>
      </c>
      <c r="C78" s="3" t="s">
        <v>68</v>
      </c>
      <c r="D78" s="3" t="s">
        <v>35</v>
      </c>
      <c r="E78" s="3" t="s">
        <v>12</v>
      </c>
      <c r="F78" s="12">
        <v>37237</v>
      </c>
      <c r="G78" s="3">
        <v>60</v>
      </c>
      <c r="H78" s="3">
        <v>94</v>
      </c>
      <c r="I78" s="3">
        <v>154</v>
      </c>
      <c r="J78" s="3">
        <v>77</v>
      </c>
    </row>
    <row r="79" spans="2:10" x14ac:dyDescent="0.3">
      <c r="B79" s="3" t="s">
        <v>100</v>
      </c>
      <c r="C79" s="3" t="s">
        <v>25</v>
      </c>
      <c r="D79" s="3" t="s">
        <v>11</v>
      </c>
      <c r="E79" s="3" t="s">
        <v>12</v>
      </c>
      <c r="F79" s="12">
        <v>42951</v>
      </c>
      <c r="G79" s="3">
        <v>97</v>
      </c>
      <c r="H79" s="3">
        <v>88</v>
      </c>
      <c r="I79" s="3">
        <v>185</v>
      </c>
      <c r="J79" s="3">
        <v>92.5</v>
      </c>
    </row>
    <row r="80" spans="2:10" x14ac:dyDescent="0.3">
      <c r="B80" s="3" t="s">
        <v>101</v>
      </c>
      <c r="C80" s="3" t="s">
        <v>29</v>
      </c>
      <c r="D80" s="3" t="s">
        <v>11</v>
      </c>
      <c r="E80" s="3" t="s">
        <v>15</v>
      </c>
      <c r="F80" s="12">
        <v>42352</v>
      </c>
      <c r="G80" s="3">
        <v>96</v>
      </c>
      <c r="H80" s="3">
        <v>97</v>
      </c>
      <c r="I80" s="3">
        <v>193</v>
      </c>
      <c r="J80" s="3">
        <v>96.5</v>
      </c>
    </row>
    <row r="81" spans="2:10" x14ac:dyDescent="0.3">
      <c r="B81" s="3" t="s">
        <v>98</v>
      </c>
      <c r="C81" s="3" t="s">
        <v>22</v>
      </c>
      <c r="D81" s="3" t="s">
        <v>11</v>
      </c>
      <c r="E81" s="3" t="s">
        <v>12</v>
      </c>
      <c r="F81" s="12">
        <v>41914</v>
      </c>
      <c r="G81" s="3">
        <v>99</v>
      </c>
      <c r="H81" s="3">
        <v>90</v>
      </c>
      <c r="I81" s="3">
        <v>189</v>
      </c>
      <c r="J81" s="3">
        <v>94.5</v>
      </c>
    </row>
    <row r="82" spans="2:10" x14ac:dyDescent="0.3">
      <c r="B82" s="3" t="s">
        <v>99</v>
      </c>
      <c r="C82" s="3" t="s">
        <v>68</v>
      </c>
      <c r="D82" s="3" t="s">
        <v>35</v>
      </c>
      <c r="E82" s="3" t="s">
        <v>12</v>
      </c>
      <c r="F82" s="12">
        <v>37237</v>
      </c>
      <c r="G82" s="3">
        <v>60</v>
      </c>
      <c r="H82" s="3">
        <v>94</v>
      </c>
      <c r="I82" s="3">
        <v>154</v>
      </c>
      <c r="J82" s="3">
        <v>77</v>
      </c>
    </row>
    <row r="83" spans="2:10" x14ac:dyDescent="0.3">
      <c r="B83" s="3" t="s">
        <v>100</v>
      </c>
      <c r="C83" s="3" t="s">
        <v>25</v>
      </c>
      <c r="D83" s="3" t="s">
        <v>11</v>
      </c>
      <c r="E83" s="3" t="s">
        <v>12</v>
      </c>
      <c r="F83" s="12">
        <v>42951</v>
      </c>
      <c r="G83" s="3">
        <v>72</v>
      </c>
      <c r="H83" s="3">
        <v>88</v>
      </c>
      <c r="I83" s="3">
        <v>160</v>
      </c>
      <c r="J83" s="3">
        <v>80</v>
      </c>
    </row>
    <row r="84" spans="2:10" x14ac:dyDescent="0.3">
      <c r="B84" s="4" t="s">
        <v>101</v>
      </c>
      <c r="C84" s="4" t="s">
        <v>29</v>
      </c>
      <c r="D84" s="4" t="s">
        <v>11</v>
      </c>
      <c r="E84" s="4" t="s">
        <v>15</v>
      </c>
      <c r="F84" s="13">
        <v>42352</v>
      </c>
      <c r="G84" s="4">
        <v>80</v>
      </c>
      <c r="H84" s="4">
        <v>97</v>
      </c>
      <c r="I84" s="4">
        <v>177</v>
      </c>
      <c r="J84" s="4">
        <v>88.5</v>
      </c>
    </row>
  </sheetData>
  <phoneticPr fontId="2" type="noConversion"/>
  <dataValidations count="1">
    <dataValidation type="list" allowBlank="1" showInputMessage="1" showErrorMessage="1" sqref="M2" xr:uid="{EBEA6A0E-B5F0-4778-9DFE-E10B7AD23642}">
      <formula1>소속명</formula1>
    </dataValidation>
  </dataValidations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74E60C-15FC-45C2-A589-0A648E60BD34}">
  <sheetPr codeName="Sheet4">
    <tabColor rgb="FF0070C0"/>
  </sheetPr>
  <dimension ref="B1:T84"/>
  <sheetViews>
    <sheetView zoomScale="115" zoomScaleNormal="115" workbookViewId="0">
      <selection activeCell="B5" sqref="B5:J20"/>
    </sheetView>
  </sheetViews>
  <sheetFormatPr defaultRowHeight="16.5" x14ac:dyDescent="0.3"/>
  <cols>
    <col min="1" max="1" width="1.625" style="2" customWidth="1"/>
    <col min="2" max="2" width="9" style="2"/>
    <col min="3" max="3" width="11" style="2" bestFit="1" customWidth="1"/>
    <col min="4" max="5" width="5.5" style="2" bestFit="1" customWidth="1"/>
    <col min="6" max="6" width="11.125" style="17" bestFit="1" customWidth="1"/>
    <col min="7" max="7" width="6.875" style="2" bestFit="1" customWidth="1"/>
    <col min="8" max="8" width="6.75" style="2" bestFit="1" customWidth="1"/>
    <col min="9" max="10" width="5.5" style="2" bestFit="1" customWidth="1"/>
    <col min="11" max="11" width="2.375" style="2" customWidth="1"/>
    <col min="12" max="12" width="9" style="2"/>
    <col min="13" max="13" width="11.625" style="2" customWidth="1"/>
    <col min="14" max="14" width="11" style="2" customWidth="1"/>
    <col min="15" max="15" width="6.875" style="2" customWidth="1"/>
    <col min="16" max="16384" width="9" style="2"/>
  </cols>
  <sheetData>
    <row r="1" spans="2:20" ht="7.5" customHeight="1" thickBot="1" x14ac:dyDescent="0.35"/>
    <row r="2" spans="2:20" ht="30" customHeight="1" thickTop="1" thickBot="1" x14ac:dyDescent="0.35">
      <c r="B2" s="80" t="s">
        <v>102</v>
      </c>
      <c r="C2" s="81"/>
      <c r="D2" s="81"/>
      <c r="E2" s="81"/>
      <c r="F2" s="81"/>
      <c r="G2" s="81"/>
      <c r="H2" s="81"/>
      <c r="I2" s="81"/>
      <c r="J2" s="81"/>
      <c r="L2" s="10" t="s">
        <v>1</v>
      </c>
      <c r="M2" s="11"/>
      <c r="N2" s="10" t="s">
        <v>103</v>
      </c>
      <c r="O2" s="11">
        <v>90</v>
      </c>
    </row>
    <row r="3" spans="2:20" ht="7.5" customHeight="1" thickTop="1" x14ac:dyDescent="0.3"/>
    <row r="4" spans="2:20" x14ac:dyDescent="0.3">
      <c r="B4" s="5" t="s">
        <v>0</v>
      </c>
      <c r="C4" s="6" t="s">
        <v>1</v>
      </c>
      <c r="D4" s="6" t="s">
        <v>2</v>
      </c>
      <c r="E4" s="6" t="s">
        <v>3</v>
      </c>
      <c r="F4" s="15" t="s">
        <v>4</v>
      </c>
      <c r="G4" s="6" t="s">
        <v>5</v>
      </c>
      <c r="H4" s="6" t="s">
        <v>6</v>
      </c>
      <c r="I4" s="6" t="s">
        <v>7</v>
      </c>
      <c r="J4" s="7" t="s">
        <v>8</v>
      </c>
      <c r="L4" s="5" t="s">
        <v>0</v>
      </c>
      <c r="M4" s="6" t="s">
        <v>1</v>
      </c>
      <c r="N4" s="6" t="s">
        <v>2</v>
      </c>
      <c r="O4" s="6" t="s">
        <v>3</v>
      </c>
      <c r="P4" s="15" t="s">
        <v>4</v>
      </c>
      <c r="Q4" s="6" t="s">
        <v>5</v>
      </c>
      <c r="R4" s="6" t="s">
        <v>6</v>
      </c>
      <c r="S4" s="6" t="s">
        <v>7</v>
      </c>
      <c r="T4" s="7" t="s">
        <v>8</v>
      </c>
    </row>
    <row r="5" spans="2:20" x14ac:dyDescent="0.3">
      <c r="B5" s="3" t="s">
        <v>9</v>
      </c>
      <c r="C5" s="3" t="s">
        <v>10</v>
      </c>
      <c r="D5" s="3" t="s">
        <v>11</v>
      </c>
      <c r="E5" s="3" t="s">
        <v>12</v>
      </c>
      <c r="F5" s="12">
        <v>42830</v>
      </c>
      <c r="G5" s="3">
        <v>97</v>
      </c>
      <c r="H5" s="3">
        <v>70</v>
      </c>
      <c r="I5" s="3">
        <v>167</v>
      </c>
      <c r="J5" s="3">
        <v>83.5</v>
      </c>
      <c r="L5" t="str" cm="1">
        <f t="array" ref="L5:T16">_xlfn._xlws.FILTER(B:J,IF(M2="",1,C:C=M2)*(J:J&gt;=O2))</f>
        <v>성명</v>
      </c>
      <c r="M5" t="str">
        <v>소속</v>
      </c>
      <c r="N5" t="str">
        <v>직위</v>
      </c>
      <c r="O5" t="str">
        <v>성별</v>
      </c>
      <c r="P5" t="str">
        <v>입사일자</v>
      </c>
      <c r="Q5" t="str">
        <v>A고과</v>
      </c>
      <c r="R5" t="str">
        <v>B고과</v>
      </c>
      <c r="S5" t="str">
        <v>합계</v>
      </c>
      <c r="T5" t="str">
        <v>평균</v>
      </c>
    </row>
    <row r="6" spans="2:20" x14ac:dyDescent="0.3">
      <c r="B6" s="3" t="s">
        <v>13</v>
      </c>
      <c r="C6" s="3" t="s">
        <v>14</v>
      </c>
      <c r="D6" s="3" t="s">
        <v>11</v>
      </c>
      <c r="E6" s="3" t="s">
        <v>15</v>
      </c>
      <c r="F6" s="12">
        <v>40563</v>
      </c>
      <c r="G6" s="3">
        <v>93</v>
      </c>
      <c r="H6" s="3">
        <v>79</v>
      </c>
      <c r="I6" s="3">
        <v>172</v>
      </c>
      <c r="J6" s="3">
        <v>86</v>
      </c>
      <c r="L6" t="str">
        <v>박문수</v>
      </c>
      <c r="M6" t="str">
        <v>영업1팀</v>
      </c>
      <c r="N6" t="str">
        <v>사원</v>
      </c>
      <c r="O6" t="str">
        <v>남</v>
      </c>
      <c r="P6">
        <v>41312</v>
      </c>
      <c r="Q6">
        <v>92</v>
      </c>
      <c r="R6">
        <v>99</v>
      </c>
      <c r="S6">
        <v>191</v>
      </c>
      <c r="T6">
        <v>95.5</v>
      </c>
    </row>
    <row r="7" spans="2:20" x14ac:dyDescent="0.3">
      <c r="B7" s="3" t="s">
        <v>16</v>
      </c>
      <c r="C7" s="3" t="s">
        <v>17</v>
      </c>
      <c r="D7" s="3" t="s">
        <v>11</v>
      </c>
      <c r="E7" s="3" t="s">
        <v>12</v>
      </c>
      <c r="F7" s="12">
        <v>40809</v>
      </c>
      <c r="G7" s="3">
        <v>63</v>
      </c>
      <c r="H7" s="3">
        <v>75</v>
      </c>
      <c r="I7" s="3">
        <v>138</v>
      </c>
      <c r="J7" s="3">
        <v>69</v>
      </c>
      <c r="L7" t="str">
        <v>사육신</v>
      </c>
      <c r="M7" t="str">
        <v>영업1팀</v>
      </c>
      <c r="N7" t="str">
        <v>차장</v>
      </c>
      <c r="O7" t="str">
        <v>여</v>
      </c>
      <c r="P7">
        <v>37049</v>
      </c>
      <c r="Q7">
        <v>92</v>
      </c>
      <c r="R7">
        <v>91</v>
      </c>
      <c r="S7">
        <v>183</v>
      </c>
      <c r="T7">
        <v>91.5</v>
      </c>
    </row>
    <row r="8" spans="2:20" x14ac:dyDescent="0.3">
      <c r="B8" s="3" t="s">
        <v>18</v>
      </c>
      <c r="C8" s="3" t="s">
        <v>14</v>
      </c>
      <c r="D8" s="3" t="s">
        <v>11</v>
      </c>
      <c r="E8" s="3" t="s">
        <v>15</v>
      </c>
      <c r="F8" s="12">
        <v>42269</v>
      </c>
      <c r="G8" s="3">
        <v>89</v>
      </c>
      <c r="H8" s="3">
        <v>82</v>
      </c>
      <c r="I8" s="3">
        <v>171</v>
      </c>
      <c r="J8" s="3">
        <v>85.5</v>
      </c>
      <c r="L8" t="str">
        <v>서희</v>
      </c>
      <c r="M8" t="str">
        <v>운영팀</v>
      </c>
      <c r="N8" t="str">
        <v>부장</v>
      </c>
      <c r="O8" t="str">
        <v>여</v>
      </c>
      <c r="P8">
        <v>35235</v>
      </c>
      <c r="Q8">
        <v>88</v>
      </c>
      <c r="R8">
        <v>92</v>
      </c>
      <c r="S8">
        <v>180</v>
      </c>
      <c r="T8">
        <v>90</v>
      </c>
    </row>
    <row r="9" spans="2:20" x14ac:dyDescent="0.3">
      <c r="B9" s="3" t="s">
        <v>19</v>
      </c>
      <c r="C9" s="3" t="s">
        <v>14</v>
      </c>
      <c r="D9" s="3" t="s">
        <v>20</v>
      </c>
      <c r="E9" s="3" t="s">
        <v>12</v>
      </c>
      <c r="F9" s="12">
        <v>35622</v>
      </c>
      <c r="G9" s="3">
        <v>93</v>
      </c>
      <c r="H9" s="3">
        <v>84</v>
      </c>
      <c r="I9" s="3">
        <v>177</v>
      </c>
      <c r="J9" s="3">
        <v>88.5</v>
      </c>
      <c r="L9" t="str">
        <v>유관순</v>
      </c>
      <c r="M9" t="str">
        <v>영업2팀</v>
      </c>
      <c r="N9" t="str">
        <v>대리</v>
      </c>
      <c r="O9" t="str">
        <v>남</v>
      </c>
      <c r="P9">
        <v>38891</v>
      </c>
      <c r="Q9">
        <v>92</v>
      </c>
      <c r="R9">
        <v>94</v>
      </c>
      <c r="S9">
        <v>186</v>
      </c>
      <c r="T9">
        <v>93</v>
      </c>
    </row>
    <row r="10" spans="2:20" x14ac:dyDescent="0.3">
      <c r="B10" s="3" t="s">
        <v>21</v>
      </c>
      <c r="C10" s="3" t="s">
        <v>22</v>
      </c>
      <c r="D10" s="3" t="s">
        <v>23</v>
      </c>
      <c r="E10" s="3" t="s">
        <v>12</v>
      </c>
      <c r="F10" s="12">
        <v>39708</v>
      </c>
      <c r="G10" s="3">
        <v>77</v>
      </c>
      <c r="H10" s="3">
        <v>70</v>
      </c>
      <c r="I10" s="3">
        <v>147</v>
      </c>
      <c r="J10" s="3">
        <v>73.5</v>
      </c>
      <c r="L10" t="str">
        <v>장영실</v>
      </c>
      <c r="M10" t="str">
        <v>생산관리팀</v>
      </c>
      <c r="N10" t="str">
        <v>차장</v>
      </c>
      <c r="O10" t="str">
        <v>남</v>
      </c>
      <c r="P10">
        <v>37152</v>
      </c>
      <c r="Q10">
        <v>97</v>
      </c>
      <c r="R10">
        <v>83</v>
      </c>
      <c r="S10">
        <v>180</v>
      </c>
      <c r="T10">
        <v>90</v>
      </c>
    </row>
    <row r="11" spans="2:20" x14ac:dyDescent="0.3">
      <c r="B11" s="3" t="s">
        <v>24</v>
      </c>
      <c r="C11" s="3" t="s">
        <v>25</v>
      </c>
      <c r="D11" s="3" t="s">
        <v>11</v>
      </c>
      <c r="E11" s="3" t="s">
        <v>12</v>
      </c>
      <c r="F11" s="12">
        <v>42332</v>
      </c>
      <c r="G11" s="3">
        <v>82</v>
      </c>
      <c r="H11" s="3">
        <v>70</v>
      </c>
      <c r="I11" s="3">
        <v>152</v>
      </c>
      <c r="J11" s="3">
        <v>76</v>
      </c>
      <c r="L11" t="str">
        <v>정중부</v>
      </c>
      <c r="M11" t="str">
        <v>운영팀</v>
      </c>
      <c r="N11" t="str">
        <v>차장</v>
      </c>
      <c r="O11" t="str">
        <v>여</v>
      </c>
      <c r="P11">
        <v>36255</v>
      </c>
      <c r="Q11">
        <v>87</v>
      </c>
      <c r="R11">
        <v>97</v>
      </c>
      <c r="S11">
        <v>184</v>
      </c>
      <c r="T11">
        <v>92</v>
      </c>
    </row>
    <row r="12" spans="2:20" x14ac:dyDescent="0.3">
      <c r="B12" s="3" t="s">
        <v>26</v>
      </c>
      <c r="C12" s="3" t="s">
        <v>27</v>
      </c>
      <c r="D12" s="3" t="s">
        <v>11</v>
      </c>
      <c r="E12" s="3" t="s">
        <v>15</v>
      </c>
      <c r="F12" s="12">
        <v>42009</v>
      </c>
      <c r="G12" s="3">
        <v>87</v>
      </c>
      <c r="H12" s="3">
        <v>65</v>
      </c>
      <c r="I12" s="3">
        <v>152</v>
      </c>
      <c r="J12" s="3">
        <v>76</v>
      </c>
      <c r="L12" t="str">
        <v>태조</v>
      </c>
      <c r="M12" t="str">
        <v>영업1팀</v>
      </c>
      <c r="N12" t="str">
        <v>부장</v>
      </c>
      <c r="O12" t="str">
        <v>남</v>
      </c>
      <c r="P12">
        <v>36441</v>
      </c>
      <c r="Q12">
        <v>97</v>
      </c>
      <c r="R12">
        <v>94</v>
      </c>
      <c r="S12">
        <v>191</v>
      </c>
      <c r="T12">
        <v>95.5</v>
      </c>
    </row>
    <row r="13" spans="2:20" x14ac:dyDescent="0.3">
      <c r="B13" s="3" t="s">
        <v>28</v>
      </c>
      <c r="C13" s="3" t="s">
        <v>29</v>
      </c>
      <c r="D13" s="3" t="s">
        <v>20</v>
      </c>
      <c r="E13" s="3" t="s">
        <v>12</v>
      </c>
      <c r="F13" s="12">
        <v>35270</v>
      </c>
      <c r="G13" s="3">
        <v>100</v>
      </c>
      <c r="H13" s="3">
        <v>79</v>
      </c>
      <c r="I13" s="3">
        <v>179</v>
      </c>
      <c r="J13" s="3">
        <v>89.5</v>
      </c>
      <c r="L13" t="str">
        <v>홍익한</v>
      </c>
      <c r="M13" t="str">
        <v>영업1팀</v>
      </c>
      <c r="N13" t="str">
        <v>사원</v>
      </c>
      <c r="O13" t="str">
        <v>남</v>
      </c>
      <c r="P13">
        <v>41914</v>
      </c>
      <c r="Q13">
        <v>99</v>
      </c>
      <c r="R13">
        <v>90</v>
      </c>
      <c r="S13">
        <v>189</v>
      </c>
      <c r="T13">
        <v>94.5</v>
      </c>
    </row>
    <row r="14" spans="2:20" x14ac:dyDescent="0.3">
      <c r="B14" s="3" t="s">
        <v>30</v>
      </c>
      <c r="C14" s="3" t="s">
        <v>25</v>
      </c>
      <c r="D14" s="3" t="s">
        <v>31</v>
      </c>
      <c r="E14" s="3" t="s">
        <v>15</v>
      </c>
      <c r="F14" s="12">
        <v>37421</v>
      </c>
      <c r="G14" s="3">
        <v>78</v>
      </c>
      <c r="H14" s="3">
        <v>84</v>
      </c>
      <c r="I14" s="3">
        <v>162</v>
      </c>
      <c r="J14" s="3">
        <v>81</v>
      </c>
      <c r="L14" t="str">
        <v>황진이</v>
      </c>
      <c r="M14" t="str">
        <v>경영정보팀</v>
      </c>
      <c r="N14" t="str">
        <v>사원</v>
      </c>
      <c r="O14" t="str">
        <v>남</v>
      </c>
      <c r="P14">
        <v>42951</v>
      </c>
      <c r="Q14">
        <v>97</v>
      </c>
      <c r="R14">
        <v>88</v>
      </c>
      <c r="S14">
        <v>185</v>
      </c>
      <c r="T14">
        <v>92.5</v>
      </c>
    </row>
    <row r="15" spans="2:20" x14ac:dyDescent="0.3">
      <c r="B15" s="3" t="s">
        <v>32</v>
      </c>
      <c r="C15" s="3" t="s">
        <v>25</v>
      </c>
      <c r="D15" s="3" t="s">
        <v>11</v>
      </c>
      <c r="E15" s="3" t="s">
        <v>15</v>
      </c>
      <c r="F15" s="12">
        <v>40703</v>
      </c>
      <c r="G15" s="3">
        <v>71</v>
      </c>
      <c r="H15" s="3">
        <v>92</v>
      </c>
      <c r="I15" s="3">
        <v>163</v>
      </c>
      <c r="J15" s="3">
        <v>81.5</v>
      </c>
      <c r="L15" t="str">
        <v>황희</v>
      </c>
      <c r="M15" t="str">
        <v>개발팀</v>
      </c>
      <c r="N15" t="str">
        <v>사원</v>
      </c>
      <c r="O15" t="str">
        <v>여</v>
      </c>
      <c r="P15">
        <v>42352</v>
      </c>
      <c r="Q15">
        <v>96</v>
      </c>
      <c r="R15">
        <v>97</v>
      </c>
      <c r="S15">
        <v>193</v>
      </c>
      <c r="T15">
        <v>96.5</v>
      </c>
    </row>
    <row r="16" spans="2:20" x14ac:dyDescent="0.3">
      <c r="B16" s="3" t="s">
        <v>33</v>
      </c>
      <c r="C16" s="3" t="s">
        <v>10</v>
      </c>
      <c r="D16" s="3" t="s">
        <v>20</v>
      </c>
      <c r="E16" s="3" t="s">
        <v>15</v>
      </c>
      <c r="F16" s="12">
        <v>35786</v>
      </c>
      <c r="G16" s="3">
        <v>66</v>
      </c>
      <c r="H16" s="3">
        <v>91</v>
      </c>
      <c r="I16" s="3">
        <v>157</v>
      </c>
      <c r="J16" s="3">
        <v>78.5</v>
      </c>
      <c r="L16" t="str">
        <v>홍익한</v>
      </c>
      <c r="M16" t="str">
        <v>영업1팀</v>
      </c>
      <c r="N16" t="str">
        <v>사원</v>
      </c>
      <c r="O16" t="str">
        <v>남</v>
      </c>
      <c r="P16">
        <v>41914</v>
      </c>
      <c r="Q16">
        <v>99</v>
      </c>
      <c r="R16">
        <v>90</v>
      </c>
      <c r="S16">
        <v>189</v>
      </c>
      <c r="T16">
        <v>94.5</v>
      </c>
    </row>
    <row r="17" spans="2:20" x14ac:dyDescent="0.3">
      <c r="B17" s="3" t="s">
        <v>34</v>
      </c>
      <c r="C17" s="3" t="s">
        <v>25</v>
      </c>
      <c r="D17" s="3" t="s">
        <v>35</v>
      </c>
      <c r="E17" s="3" t="s">
        <v>12</v>
      </c>
      <c r="F17" s="12">
        <v>37421</v>
      </c>
      <c r="G17" s="3">
        <v>78</v>
      </c>
      <c r="H17" s="3">
        <v>97</v>
      </c>
      <c r="I17" s="3">
        <v>175</v>
      </c>
      <c r="J17" s="3">
        <v>87.5</v>
      </c>
      <c r="L17"/>
      <c r="M17"/>
      <c r="N17"/>
      <c r="O17"/>
      <c r="P17"/>
      <c r="Q17"/>
      <c r="R17"/>
      <c r="S17"/>
      <c r="T17"/>
    </row>
    <row r="18" spans="2:20" x14ac:dyDescent="0.3">
      <c r="B18" s="3" t="s">
        <v>36</v>
      </c>
      <c r="C18" s="3" t="s">
        <v>22</v>
      </c>
      <c r="D18" s="3" t="s">
        <v>35</v>
      </c>
      <c r="E18" s="3" t="s">
        <v>15</v>
      </c>
      <c r="F18" s="12">
        <v>38810</v>
      </c>
      <c r="G18" s="3">
        <v>74</v>
      </c>
      <c r="H18" s="3">
        <v>63</v>
      </c>
      <c r="I18" s="3">
        <v>137</v>
      </c>
      <c r="J18" s="3">
        <v>68.5</v>
      </c>
      <c r="L18"/>
      <c r="M18"/>
      <c r="N18"/>
      <c r="O18"/>
      <c r="P18"/>
      <c r="Q18"/>
      <c r="R18"/>
      <c r="S18"/>
      <c r="T18"/>
    </row>
    <row r="19" spans="2:20" x14ac:dyDescent="0.3">
      <c r="B19" s="3" t="s">
        <v>37</v>
      </c>
      <c r="C19" s="3" t="s">
        <v>38</v>
      </c>
      <c r="D19" s="3" t="s">
        <v>20</v>
      </c>
      <c r="E19" s="3" t="s">
        <v>15</v>
      </c>
      <c r="F19" s="12">
        <v>35997</v>
      </c>
      <c r="G19" s="3">
        <v>80</v>
      </c>
      <c r="H19" s="3">
        <v>74</v>
      </c>
      <c r="I19" s="3">
        <v>154</v>
      </c>
      <c r="J19" s="3">
        <v>77</v>
      </c>
      <c r="L19"/>
      <c r="M19"/>
      <c r="N19"/>
      <c r="O19"/>
      <c r="P19"/>
      <c r="Q19"/>
      <c r="R19"/>
      <c r="S19"/>
      <c r="T19"/>
    </row>
    <row r="20" spans="2:20" x14ac:dyDescent="0.3">
      <c r="B20" s="3" t="s">
        <v>39</v>
      </c>
      <c r="C20" s="3" t="s">
        <v>25</v>
      </c>
      <c r="D20" s="3" t="s">
        <v>31</v>
      </c>
      <c r="E20" s="3" t="s">
        <v>12</v>
      </c>
      <c r="F20" s="12">
        <v>36313</v>
      </c>
      <c r="G20" s="3">
        <v>89</v>
      </c>
      <c r="H20" s="3">
        <v>65</v>
      </c>
      <c r="I20" s="3">
        <v>154</v>
      </c>
      <c r="J20" s="3">
        <v>77</v>
      </c>
      <c r="L20"/>
      <c r="M20"/>
      <c r="N20"/>
      <c r="O20"/>
      <c r="P20"/>
      <c r="Q20"/>
      <c r="R20"/>
      <c r="S20"/>
      <c r="T20"/>
    </row>
    <row r="21" spans="2:20" x14ac:dyDescent="0.3">
      <c r="B21" s="3" t="s">
        <v>40</v>
      </c>
      <c r="C21" s="3" t="s">
        <v>10</v>
      </c>
      <c r="D21" s="3" t="s">
        <v>11</v>
      </c>
      <c r="E21" s="3" t="s">
        <v>15</v>
      </c>
      <c r="F21" s="12">
        <v>40869</v>
      </c>
      <c r="G21" s="3">
        <v>67</v>
      </c>
      <c r="H21" s="3">
        <v>67</v>
      </c>
      <c r="I21" s="3">
        <v>134</v>
      </c>
      <c r="J21" s="3">
        <v>67</v>
      </c>
      <c r="L21"/>
      <c r="M21"/>
      <c r="N21"/>
      <c r="O21"/>
      <c r="P21"/>
      <c r="Q21"/>
      <c r="R21"/>
      <c r="S21"/>
      <c r="T21"/>
    </row>
    <row r="22" spans="2:20" x14ac:dyDescent="0.3">
      <c r="B22" s="3" t="s">
        <v>41</v>
      </c>
      <c r="C22" s="3" t="s">
        <v>38</v>
      </c>
      <c r="D22" s="3" t="s">
        <v>35</v>
      </c>
      <c r="E22" s="3" t="s">
        <v>15</v>
      </c>
      <c r="F22" s="12">
        <v>37523</v>
      </c>
      <c r="G22" s="3">
        <v>70</v>
      </c>
      <c r="H22" s="3">
        <v>90</v>
      </c>
      <c r="I22" s="3">
        <v>160</v>
      </c>
      <c r="J22" s="3">
        <v>80</v>
      </c>
      <c r="L22"/>
      <c r="M22"/>
      <c r="N22"/>
      <c r="O22"/>
      <c r="P22"/>
      <c r="Q22"/>
      <c r="R22"/>
      <c r="S22"/>
      <c r="T22"/>
    </row>
    <row r="23" spans="2:20" x14ac:dyDescent="0.3">
      <c r="B23" s="3" t="s">
        <v>42</v>
      </c>
      <c r="C23" s="3" t="s">
        <v>17</v>
      </c>
      <c r="D23" s="3" t="s">
        <v>20</v>
      </c>
      <c r="E23" s="3" t="s">
        <v>12</v>
      </c>
      <c r="F23" s="12">
        <v>35083</v>
      </c>
      <c r="G23" s="3">
        <v>73</v>
      </c>
      <c r="H23" s="3">
        <v>72</v>
      </c>
      <c r="I23" s="3">
        <v>145</v>
      </c>
      <c r="J23" s="3">
        <v>72.5</v>
      </c>
      <c r="L23"/>
      <c r="M23"/>
      <c r="N23"/>
      <c r="O23"/>
      <c r="P23"/>
      <c r="Q23"/>
      <c r="R23"/>
      <c r="S23"/>
      <c r="T23"/>
    </row>
    <row r="24" spans="2:20" x14ac:dyDescent="0.3">
      <c r="B24" s="3" t="s">
        <v>43</v>
      </c>
      <c r="C24" s="3" t="s">
        <v>10</v>
      </c>
      <c r="D24" s="3" t="s">
        <v>31</v>
      </c>
      <c r="E24" s="3" t="s">
        <v>12</v>
      </c>
      <c r="F24" s="12">
        <v>35613</v>
      </c>
      <c r="G24" s="3">
        <v>72</v>
      </c>
      <c r="H24" s="3">
        <v>91</v>
      </c>
      <c r="I24" s="3">
        <v>163</v>
      </c>
      <c r="J24" s="3">
        <v>81.5</v>
      </c>
    </row>
    <row r="25" spans="2:20" x14ac:dyDescent="0.3">
      <c r="B25" s="3" t="s">
        <v>44</v>
      </c>
      <c r="C25" s="3" t="s">
        <v>29</v>
      </c>
      <c r="D25" s="3" t="s">
        <v>31</v>
      </c>
      <c r="E25" s="3" t="s">
        <v>12</v>
      </c>
      <c r="F25" s="12">
        <v>36993</v>
      </c>
      <c r="G25" s="3">
        <v>83</v>
      </c>
      <c r="H25" s="3">
        <v>93</v>
      </c>
      <c r="I25" s="3">
        <v>176</v>
      </c>
      <c r="J25" s="3">
        <v>88</v>
      </c>
    </row>
    <row r="26" spans="2:20" x14ac:dyDescent="0.3">
      <c r="B26" s="3" t="s">
        <v>45</v>
      </c>
      <c r="C26" s="3" t="s">
        <v>22</v>
      </c>
      <c r="D26" s="3" t="s">
        <v>11</v>
      </c>
      <c r="E26" s="3" t="s">
        <v>12</v>
      </c>
      <c r="F26" s="12">
        <v>41312</v>
      </c>
      <c r="G26" s="3">
        <v>92</v>
      </c>
      <c r="H26" s="3">
        <v>99</v>
      </c>
      <c r="I26" s="3">
        <v>191</v>
      </c>
      <c r="J26" s="3">
        <v>95.5</v>
      </c>
    </row>
    <row r="27" spans="2:20" x14ac:dyDescent="0.3">
      <c r="B27" s="3" t="s">
        <v>46</v>
      </c>
      <c r="C27" s="3" t="s">
        <v>38</v>
      </c>
      <c r="D27" s="3" t="s">
        <v>11</v>
      </c>
      <c r="E27" s="3" t="s">
        <v>15</v>
      </c>
      <c r="F27" s="12">
        <v>41278</v>
      </c>
      <c r="G27" s="3">
        <v>91</v>
      </c>
      <c r="H27" s="3">
        <v>60</v>
      </c>
      <c r="I27" s="3">
        <v>151</v>
      </c>
      <c r="J27" s="3">
        <v>75.5</v>
      </c>
    </row>
    <row r="28" spans="2:20" x14ac:dyDescent="0.3">
      <c r="B28" s="3" t="s">
        <v>47</v>
      </c>
      <c r="C28" s="3" t="s">
        <v>27</v>
      </c>
      <c r="D28" s="3" t="s">
        <v>23</v>
      </c>
      <c r="E28" s="3" t="s">
        <v>15</v>
      </c>
      <c r="F28" s="12">
        <v>40816</v>
      </c>
      <c r="G28" s="3">
        <v>69</v>
      </c>
      <c r="H28" s="3">
        <v>86</v>
      </c>
      <c r="I28" s="3">
        <v>155</v>
      </c>
      <c r="J28" s="3">
        <v>77.5</v>
      </c>
    </row>
    <row r="29" spans="2:20" x14ac:dyDescent="0.3">
      <c r="B29" s="3" t="s">
        <v>48</v>
      </c>
      <c r="C29" s="3" t="s">
        <v>14</v>
      </c>
      <c r="D29" s="3" t="s">
        <v>35</v>
      </c>
      <c r="E29" s="3" t="s">
        <v>12</v>
      </c>
      <c r="F29" s="12">
        <v>38980</v>
      </c>
      <c r="G29" s="3">
        <v>87</v>
      </c>
      <c r="H29" s="3">
        <v>92</v>
      </c>
      <c r="I29" s="3">
        <v>179</v>
      </c>
      <c r="J29" s="3">
        <v>89.5</v>
      </c>
    </row>
    <row r="30" spans="2:20" x14ac:dyDescent="0.3">
      <c r="B30" s="3" t="s">
        <v>49</v>
      </c>
      <c r="C30" s="3" t="s">
        <v>22</v>
      </c>
      <c r="D30" s="3" t="s">
        <v>31</v>
      </c>
      <c r="E30" s="3" t="s">
        <v>15</v>
      </c>
      <c r="F30" s="12">
        <v>37049</v>
      </c>
      <c r="G30" s="3">
        <v>92</v>
      </c>
      <c r="H30" s="3">
        <v>91</v>
      </c>
      <c r="I30" s="3">
        <v>183</v>
      </c>
      <c r="J30" s="3">
        <v>91.5</v>
      </c>
    </row>
    <row r="31" spans="2:20" x14ac:dyDescent="0.3">
      <c r="B31" s="3" t="s">
        <v>50</v>
      </c>
      <c r="C31" s="3" t="s">
        <v>22</v>
      </c>
      <c r="D31" s="3" t="s">
        <v>11</v>
      </c>
      <c r="E31" s="3" t="s">
        <v>12</v>
      </c>
      <c r="F31" s="12">
        <v>41568</v>
      </c>
      <c r="G31" s="3">
        <v>78</v>
      </c>
      <c r="H31" s="3">
        <v>78</v>
      </c>
      <c r="I31" s="3">
        <v>156</v>
      </c>
      <c r="J31" s="3">
        <v>78</v>
      </c>
    </row>
    <row r="32" spans="2:20" x14ac:dyDescent="0.3">
      <c r="B32" s="3" t="s">
        <v>51</v>
      </c>
      <c r="C32" s="3" t="s">
        <v>22</v>
      </c>
      <c r="D32" s="3" t="s">
        <v>35</v>
      </c>
      <c r="E32" s="3" t="s">
        <v>12</v>
      </c>
      <c r="F32" s="12">
        <v>37418</v>
      </c>
      <c r="G32" s="3">
        <v>81</v>
      </c>
      <c r="H32" s="3">
        <v>78</v>
      </c>
      <c r="I32" s="3">
        <v>159</v>
      </c>
      <c r="J32" s="3">
        <v>79.5</v>
      </c>
    </row>
    <row r="33" spans="2:10" x14ac:dyDescent="0.3">
      <c r="B33" s="3" t="s">
        <v>52</v>
      </c>
      <c r="C33" s="3" t="s">
        <v>53</v>
      </c>
      <c r="D33" s="3" t="s">
        <v>20</v>
      </c>
      <c r="E33" s="3" t="s">
        <v>15</v>
      </c>
      <c r="F33" s="12">
        <v>35235</v>
      </c>
      <c r="G33" s="3">
        <v>88</v>
      </c>
      <c r="H33" s="3">
        <v>92</v>
      </c>
      <c r="I33" s="3">
        <v>180</v>
      </c>
      <c r="J33" s="3">
        <v>90</v>
      </c>
    </row>
    <row r="34" spans="2:10" x14ac:dyDescent="0.3">
      <c r="B34" s="3" t="s">
        <v>54</v>
      </c>
      <c r="C34" s="3" t="s">
        <v>27</v>
      </c>
      <c r="D34" s="3" t="s">
        <v>35</v>
      </c>
      <c r="E34" s="3" t="s">
        <v>12</v>
      </c>
      <c r="F34" s="12">
        <v>38672</v>
      </c>
      <c r="G34" s="3">
        <v>75</v>
      </c>
      <c r="H34" s="3">
        <v>70</v>
      </c>
      <c r="I34" s="3">
        <v>145</v>
      </c>
      <c r="J34" s="3">
        <v>72.5</v>
      </c>
    </row>
    <row r="35" spans="2:10" x14ac:dyDescent="0.3">
      <c r="B35" s="3" t="s">
        <v>55</v>
      </c>
      <c r="C35" s="3" t="s">
        <v>17</v>
      </c>
      <c r="D35" s="3" t="s">
        <v>23</v>
      </c>
      <c r="E35" s="3" t="s">
        <v>12</v>
      </c>
      <c r="F35" s="12">
        <v>40826</v>
      </c>
      <c r="G35" s="3">
        <v>94</v>
      </c>
      <c r="H35" s="3">
        <v>84</v>
      </c>
      <c r="I35" s="3">
        <v>178</v>
      </c>
      <c r="J35" s="3">
        <v>89</v>
      </c>
    </row>
    <row r="36" spans="2:10" x14ac:dyDescent="0.3">
      <c r="B36" s="3" t="s">
        <v>56</v>
      </c>
      <c r="C36" s="3" t="s">
        <v>17</v>
      </c>
      <c r="D36" s="3" t="s">
        <v>35</v>
      </c>
      <c r="E36" s="3" t="s">
        <v>15</v>
      </c>
      <c r="F36" s="12">
        <v>38758</v>
      </c>
      <c r="G36" s="3">
        <v>67</v>
      </c>
      <c r="H36" s="3">
        <v>74</v>
      </c>
      <c r="I36" s="3">
        <v>141</v>
      </c>
      <c r="J36" s="3">
        <v>70.5</v>
      </c>
    </row>
    <row r="37" spans="2:10" x14ac:dyDescent="0.3">
      <c r="B37" s="3" t="s">
        <v>57</v>
      </c>
      <c r="C37" s="3" t="s">
        <v>27</v>
      </c>
      <c r="D37" s="3" t="s">
        <v>20</v>
      </c>
      <c r="E37" s="3" t="s">
        <v>12</v>
      </c>
      <c r="F37" s="12">
        <v>35257</v>
      </c>
      <c r="G37" s="3">
        <v>73</v>
      </c>
      <c r="H37" s="3">
        <v>99</v>
      </c>
      <c r="I37" s="3">
        <v>172</v>
      </c>
      <c r="J37" s="3">
        <v>86</v>
      </c>
    </row>
    <row r="38" spans="2:10" x14ac:dyDescent="0.3">
      <c r="B38" s="3" t="s">
        <v>58</v>
      </c>
      <c r="C38" s="3" t="s">
        <v>27</v>
      </c>
      <c r="D38" s="3" t="s">
        <v>23</v>
      </c>
      <c r="E38" s="3" t="s">
        <v>15</v>
      </c>
      <c r="F38" s="12">
        <v>39168</v>
      </c>
      <c r="G38" s="3">
        <v>87</v>
      </c>
      <c r="H38" s="3">
        <v>87</v>
      </c>
      <c r="I38" s="3">
        <v>174</v>
      </c>
      <c r="J38" s="3">
        <v>87</v>
      </c>
    </row>
    <row r="39" spans="2:10" x14ac:dyDescent="0.3">
      <c r="B39" s="3" t="s">
        <v>59</v>
      </c>
      <c r="C39" s="3" t="s">
        <v>25</v>
      </c>
      <c r="D39" s="3" t="s">
        <v>35</v>
      </c>
      <c r="E39" s="3" t="s">
        <v>12</v>
      </c>
      <c r="F39" s="12">
        <v>37335</v>
      </c>
      <c r="G39" s="3">
        <v>91</v>
      </c>
      <c r="H39" s="3">
        <v>77</v>
      </c>
      <c r="I39" s="3">
        <v>168</v>
      </c>
      <c r="J39" s="3">
        <v>84</v>
      </c>
    </row>
    <row r="40" spans="2:10" x14ac:dyDescent="0.3">
      <c r="B40" s="3" t="s">
        <v>60</v>
      </c>
      <c r="C40" s="3" t="s">
        <v>53</v>
      </c>
      <c r="D40" s="3" t="s">
        <v>11</v>
      </c>
      <c r="E40" s="3" t="s">
        <v>12</v>
      </c>
      <c r="F40" s="12">
        <v>40710</v>
      </c>
      <c r="G40" s="3">
        <v>66</v>
      </c>
      <c r="H40" s="3">
        <v>71</v>
      </c>
      <c r="I40" s="3">
        <v>137</v>
      </c>
      <c r="J40" s="3">
        <v>68.5</v>
      </c>
    </row>
    <row r="41" spans="2:10" x14ac:dyDescent="0.3">
      <c r="B41" s="3" t="s">
        <v>61</v>
      </c>
      <c r="C41" s="3" t="s">
        <v>38</v>
      </c>
      <c r="D41" s="3" t="s">
        <v>23</v>
      </c>
      <c r="E41" s="3" t="s">
        <v>15</v>
      </c>
      <c r="F41" s="12">
        <v>40788</v>
      </c>
      <c r="G41" s="3">
        <v>67</v>
      </c>
      <c r="H41" s="3">
        <v>60</v>
      </c>
      <c r="I41" s="3">
        <v>127</v>
      </c>
      <c r="J41" s="3">
        <v>63.5</v>
      </c>
    </row>
    <row r="42" spans="2:10" x14ac:dyDescent="0.3">
      <c r="B42" s="3" t="s">
        <v>62</v>
      </c>
      <c r="C42" s="3" t="s">
        <v>10</v>
      </c>
      <c r="D42" s="3" t="s">
        <v>35</v>
      </c>
      <c r="E42" s="3" t="s">
        <v>12</v>
      </c>
      <c r="F42" s="12">
        <v>38660</v>
      </c>
      <c r="G42" s="3">
        <v>88</v>
      </c>
      <c r="H42" s="3">
        <v>74</v>
      </c>
      <c r="I42" s="3">
        <v>162</v>
      </c>
      <c r="J42" s="3">
        <v>81</v>
      </c>
    </row>
    <row r="43" spans="2:10" x14ac:dyDescent="0.3">
      <c r="B43" s="3" t="s">
        <v>63</v>
      </c>
      <c r="C43" s="3" t="s">
        <v>27</v>
      </c>
      <c r="D43" s="3" t="s">
        <v>23</v>
      </c>
      <c r="E43" s="3" t="s">
        <v>12</v>
      </c>
      <c r="F43" s="12">
        <v>38891</v>
      </c>
      <c r="G43" s="3">
        <v>92</v>
      </c>
      <c r="H43" s="3">
        <v>94</v>
      </c>
      <c r="I43" s="3">
        <v>186</v>
      </c>
      <c r="J43" s="3">
        <v>93</v>
      </c>
    </row>
    <row r="44" spans="2:10" x14ac:dyDescent="0.3">
      <c r="B44" s="3" t="s">
        <v>64</v>
      </c>
      <c r="C44" s="3" t="s">
        <v>27</v>
      </c>
      <c r="D44" s="3" t="s">
        <v>31</v>
      </c>
      <c r="E44" s="3" t="s">
        <v>12</v>
      </c>
      <c r="F44" s="12">
        <v>36171</v>
      </c>
      <c r="G44" s="3">
        <v>84</v>
      </c>
      <c r="H44" s="3">
        <v>94</v>
      </c>
      <c r="I44" s="3">
        <v>178</v>
      </c>
      <c r="J44" s="3">
        <v>89</v>
      </c>
    </row>
    <row r="45" spans="2:10" x14ac:dyDescent="0.3">
      <c r="B45" s="3" t="s">
        <v>65</v>
      </c>
      <c r="C45" s="3" t="s">
        <v>14</v>
      </c>
      <c r="D45" s="3" t="s">
        <v>23</v>
      </c>
      <c r="E45" s="3" t="s">
        <v>12</v>
      </c>
      <c r="F45" s="12">
        <v>39157</v>
      </c>
      <c r="G45" s="3">
        <v>84</v>
      </c>
      <c r="H45" s="3">
        <v>62</v>
      </c>
      <c r="I45" s="3">
        <v>146</v>
      </c>
      <c r="J45" s="3">
        <v>73</v>
      </c>
    </row>
    <row r="46" spans="2:10" x14ac:dyDescent="0.3">
      <c r="B46" s="3" t="s">
        <v>66</v>
      </c>
      <c r="C46" s="3" t="s">
        <v>27</v>
      </c>
      <c r="D46" s="3" t="s">
        <v>11</v>
      </c>
      <c r="E46" s="3" t="s">
        <v>12</v>
      </c>
      <c r="F46" s="12">
        <v>41589</v>
      </c>
      <c r="G46" s="3">
        <v>68</v>
      </c>
      <c r="H46" s="3">
        <v>73</v>
      </c>
      <c r="I46" s="3">
        <v>141</v>
      </c>
      <c r="J46" s="3">
        <v>70.5</v>
      </c>
    </row>
    <row r="47" spans="2:10" x14ac:dyDescent="0.3">
      <c r="B47" s="3" t="s">
        <v>67</v>
      </c>
      <c r="C47" s="3" t="s">
        <v>68</v>
      </c>
      <c r="D47" s="3" t="s">
        <v>23</v>
      </c>
      <c r="E47" s="3" t="s">
        <v>15</v>
      </c>
      <c r="F47" s="12">
        <v>40080</v>
      </c>
      <c r="G47" s="3">
        <v>63</v>
      </c>
      <c r="H47" s="3">
        <v>62</v>
      </c>
      <c r="I47" s="3">
        <v>125</v>
      </c>
      <c r="J47" s="3">
        <v>62.5</v>
      </c>
    </row>
    <row r="48" spans="2:10" x14ac:dyDescent="0.3">
      <c r="B48" s="3" t="s">
        <v>69</v>
      </c>
      <c r="C48" s="3" t="s">
        <v>14</v>
      </c>
      <c r="D48" s="3" t="s">
        <v>31</v>
      </c>
      <c r="E48" s="3" t="s">
        <v>15</v>
      </c>
      <c r="F48" s="12">
        <v>35727</v>
      </c>
      <c r="G48" s="3">
        <v>88</v>
      </c>
      <c r="H48" s="3">
        <v>85</v>
      </c>
      <c r="I48" s="3">
        <v>173</v>
      </c>
      <c r="J48" s="3">
        <v>86.5</v>
      </c>
    </row>
    <row r="49" spans="2:10" x14ac:dyDescent="0.3">
      <c r="B49" s="3" t="s">
        <v>70</v>
      </c>
      <c r="C49" s="3" t="s">
        <v>27</v>
      </c>
      <c r="D49" s="3" t="s">
        <v>11</v>
      </c>
      <c r="E49" s="3" t="s">
        <v>12</v>
      </c>
      <c r="F49" s="12">
        <v>40883</v>
      </c>
      <c r="G49" s="3">
        <v>62</v>
      </c>
      <c r="H49" s="3">
        <v>95</v>
      </c>
      <c r="I49" s="3">
        <v>157</v>
      </c>
      <c r="J49" s="3">
        <v>78.5</v>
      </c>
    </row>
    <row r="50" spans="2:10" x14ac:dyDescent="0.3">
      <c r="B50" s="3" t="s">
        <v>71</v>
      </c>
      <c r="C50" s="3" t="s">
        <v>27</v>
      </c>
      <c r="D50" s="3" t="s">
        <v>11</v>
      </c>
      <c r="E50" s="3" t="s">
        <v>15</v>
      </c>
      <c r="F50" s="12">
        <v>41337</v>
      </c>
      <c r="G50" s="3">
        <v>95</v>
      </c>
      <c r="H50" s="3">
        <v>72</v>
      </c>
      <c r="I50" s="3">
        <v>167</v>
      </c>
      <c r="J50" s="3">
        <v>83.5</v>
      </c>
    </row>
    <row r="51" spans="2:10" x14ac:dyDescent="0.3">
      <c r="B51" s="3" t="s">
        <v>72</v>
      </c>
      <c r="C51" s="3" t="s">
        <v>17</v>
      </c>
      <c r="D51" s="3" t="s">
        <v>11</v>
      </c>
      <c r="E51" s="3" t="s">
        <v>12</v>
      </c>
      <c r="F51" s="12">
        <v>40683</v>
      </c>
      <c r="G51" s="3">
        <v>93</v>
      </c>
      <c r="H51" s="3">
        <v>69</v>
      </c>
      <c r="I51" s="3">
        <v>162</v>
      </c>
      <c r="J51" s="3">
        <v>81</v>
      </c>
    </row>
    <row r="52" spans="2:10" x14ac:dyDescent="0.3">
      <c r="B52" s="3" t="s">
        <v>73</v>
      </c>
      <c r="C52" s="3" t="s">
        <v>27</v>
      </c>
      <c r="D52" s="3" t="s">
        <v>31</v>
      </c>
      <c r="E52" s="3" t="s">
        <v>12</v>
      </c>
      <c r="F52" s="12">
        <v>36843</v>
      </c>
      <c r="G52" s="3">
        <v>79</v>
      </c>
      <c r="H52" s="3">
        <v>71</v>
      </c>
      <c r="I52" s="3">
        <v>150</v>
      </c>
      <c r="J52" s="3">
        <v>75</v>
      </c>
    </row>
    <row r="53" spans="2:10" x14ac:dyDescent="0.3">
      <c r="B53" s="3" t="s">
        <v>74</v>
      </c>
      <c r="C53" s="3" t="s">
        <v>17</v>
      </c>
      <c r="D53" s="3" t="s">
        <v>35</v>
      </c>
      <c r="E53" s="3" t="s">
        <v>12</v>
      </c>
      <c r="F53" s="12">
        <v>37285</v>
      </c>
      <c r="G53" s="3">
        <v>69</v>
      </c>
      <c r="H53" s="3">
        <v>88</v>
      </c>
      <c r="I53" s="3">
        <v>157</v>
      </c>
      <c r="J53" s="3">
        <v>78.5</v>
      </c>
    </row>
    <row r="54" spans="2:10" x14ac:dyDescent="0.3">
      <c r="B54" s="3" t="s">
        <v>75</v>
      </c>
      <c r="C54" s="3" t="s">
        <v>53</v>
      </c>
      <c r="D54" s="3" t="s">
        <v>11</v>
      </c>
      <c r="E54" s="3" t="s">
        <v>15</v>
      </c>
      <c r="F54" s="12">
        <v>42699</v>
      </c>
      <c r="G54" s="3">
        <v>95</v>
      </c>
      <c r="H54" s="3">
        <v>83</v>
      </c>
      <c r="I54" s="3">
        <v>178</v>
      </c>
      <c r="J54" s="3">
        <v>89</v>
      </c>
    </row>
    <row r="55" spans="2:10" x14ac:dyDescent="0.3">
      <c r="B55" s="3" t="s">
        <v>76</v>
      </c>
      <c r="C55" s="3" t="s">
        <v>27</v>
      </c>
      <c r="D55" s="3" t="s">
        <v>11</v>
      </c>
      <c r="E55" s="3" t="s">
        <v>15</v>
      </c>
      <c r="F55" s="12">
        <v>42667</v>
      </c>
      <c r="G55" s="3">
        <v>64</v>
      </c>
      <c r="H55" s="3">
        <v>87</v>
      </c>
      <c r="I55" s="3">
        <v>151</v>
      </c>
      <c r="J55" s="3">
        <v>75.5</v>
      </c>
    </row>
    <row r="56" spans="2:10" x14ac:dyDescent="0.3">
      <c r="B56" s="3" t="s">
        <v>77</v>
      </c>
      <c r="C56" s="3" t="s">
        <v>17</v>
      </c>
      <c r="D56" s="3" t="s">
        <v>23</v>
      </c>
      <c r="E56" s="3" t="s">
        <v>12</v>
      </c>
      <c r="F56" s="12">
        <v>39605</v>
      </c>
      <c r="G56" s="3">
        <v>93</v>
      </c>
      <c r="H56" s="3">
        <v>64</v>
      </c>
      <c r="I56" s="3">
        <v>157</v>
      </c>
      <c r="J56" s="3">
        <v>78.5</v>
      </c>
    </row>
    <row r="57" spans="2:10" x14ac:dyDescent="0.3">
      <c r="B57" s="3" t="s">
        <v>78</v>
      </c>
      <c r="C57" s="3" t="s">
        <v>29</v>
      </c>
      <c r="D57" s="3" t="s">
        <v>23</v>
      </c>
      <c r="E57" s="3" t="s">
        <v>12</v>
      </c>
      <c r="F57" s="12">
        <v>40240</v>
      </c>
      <c r="G57" s="3">
        <v>67</v>
      </c>
      <c r="H57" s="3">
        <v>73</v>
      </c>
      <c r="I57" s="3">
        <v>140</v>
      </c>
      <c r="J57" s="3">
        <v>70</v>
      </c>
    </row>
    <row r="58" spans="2:10" x14ac:dyDescent="0.3">
      <c r="B58" s="3" t="s">
        <v>79</v>
      </c>
      <c r="C58" s="3" t="s">
        <v>22</v>
      </c>
      <c r="D58" s="3" t="s">
        <v>23</v>
      </c>
      <c r="E58" s="3" t="s">
        <v>12</v>
      </c>
      <c r="F58" s="12">
        <v>39542</v>
      </c>
      <c r="G58" s="3">
        <v>73</v>
      </c>
      <c r="H58" s="3">
        <v>60</v>
      </c>
      <c r="I58" s="3">
        <v>133</v>
      </c>
      <c r="J58" s="3">
        <v>66.5</v>
      </c>
    </row>
    <row r="59" spans="2:10" x14ac:dyDescent="0.3">
      <c r="B59" s="3" t="s">
        <v>80</v>
      </c>
      <c r="C59" s="3" t="s">
        <v>53</v>
      </c>
      <c r="D59" s="3" t="s">
        <v>23</v>
      </c>
      <c r="E59" s="3" t="s">
        <v>12</v>
      </c>
      <c r="F59" s="12">
        <v>40765</v>
      </c>
      <c r="G59" s="3">
        <v>60</v>
      </c>
      <c r="H59" s="3">
        <v>75</v>
      </c>
      <c r="I59" s="3">
        <v>135</v>
      </c>
      <c r="J59" s="3">
        <v>67.5</v>
      </c>
    </row>
    <row r="60" spans="2:10" x14ac:dyDescent="0.3">
      <c r="B60" s="3" t="s">
        <v>81</v>
      </c>
      <c r="C60" s="3" t="s">
        <v>10</v>
      </c>
      <c r="D60" s="3" t="s">
        <v>23</v>
      </c>
      <c r="E60" s="3" t="s">
        <v>12</v>
      </c>
      <c r="F60" s="12">
        <v>38912</v>
      </c>
      <c r="G60" s="3">
        <v>85</v>
      </c>
      <c r="H60" s="3">
        <v>94</v>
      </c>
      <c r="I60" s="3">
        <v>179</v>
      </c>
      <c r="J60" s="3">
        <v>89.5</v>
      </c>
    </row>
    <row r="61" spans="2:10" x14ac:dyDescent="0.3">
      <c r="B61" s="3" t="s">
        <v>82</v>
      </c>
      <c r="C61" s="3" t="s">
        <v>17</v>
      </c>
      <c r="D61" s="3" t="s">
        <v>31</v>
      </c>
      <c r="E61" s="3" t="s">
        <v>12</v>
      </c>
      <c r="F61" s="12">
        <v>37152</v>
      </c>
      <c r="G61" s="3">
        <v>97</v>
      </c>
      <c r="H61" s="3">
        <v>83</v>
      </c>
      <c r="I61" s="3">
        <v>180</v>
      </c>
      <c r="J61" s="3">
        <v>90</v>
      </c>
    </row>
    <row r="62" spans="2:10" x14ac:dyDescent="0.3">
      <c r="B62" s="3" t="s">
        <v>83</v>
      </c>
      <c r="C62" s="3" t="s">
        <v>25</v>
      </c>
      <c r="D62" s="3" t="s">
        <v>23</v>
      </c>
      <c r="E62" s="3" t="s">
        <v>12</v>
      </c>
      <c r="F62" s="12">
        <v>39779</v>
      </c>
      <c r="G62" s="3">
        <v>91</v>
      </c>
      <c r="H62" s="3">
        <v>84</v>
      </c>
      <c r="I62" s="3">
        <v>175</v>
      </c>
      <c r="J62" s="3">
        <v>87.5</v>
      </c>
    </row>
    <row r="63" spans="2:10" x14ac:dyDescent="0.3">
      <c r="B63" s="3" t="s">
        <v>84</v>
      </c>
      <c r="C63" s="3" t="s">
        <v>25</v>
      </c>
      <c r="D63" s="3" t="s">
        <v>23</v>
      </c>
      <c r="E63" s="3" t="s">
        <v>12</v>
      </c>
      <c r="F63" s="12">
        <v>40200</v>
      </c>
      <c r="G63" s="3">
        <v>75</v>
      </c>
      <c r="H63" s="3">
        <v>75</v>
      </c>
      <c r="I63" s="3">
        <v>150</v>
      </c>
      <c r="J63" s="3">
        <v>75</v>
      </c>
    </row>
    <row r="64" spans="2:10" x14ac:dyDescent="0.3">
      <c r="B64" s="3" t="s">
        <v>85</v>
      </c>
      <c r="C64" s="3" t="s">
        <v>25</v>
      </c>
      <c r="D64" s="3" t="s">
        <v>23</v>
      </c>
      <c r="E64" s="3" t="s">
        <v>12</v>
      </c>
      <c r="F64" s="12">
        <v>41030</v>
      </c>
      <c r="G64" s="3">
        <v>80</v>
      </c>
      <c r="H64" s="3">
        <v>79</v>
      </c>
      <c r="I64" s="3">
        <v>159</v>
      </c>
      <c r="J64" s="3">
        <v>79.5</v>
      </c>
    </row>
    <row r="65" spans="2:10" x14ac:dyDescent="0.3">
      <c r="B65" s="3" t="s">
        <v>86</v>
      </c>
      <c r="C65" s="3" t="s">
        <v>53</v>
      </c>
      <c r="D65" s="3" t="s">
        <v>31</v>
      </c>
      <c r="E65" s="3" t="s">
        <v>15</v>
      </c>
      <c r="F65" s="12">
        <v>36255</v>
      </c>
      <c r="G65" s="3">
        <v>87</v>
      </c>
      <c r="H65" s="3">
        <v>97</v>
      </c>
      <c r="I65" s="3">
        <v>184</v>
      </c>
      <c r="J65" s="3">
        <v>92</v>
      </c>
    </row>
    <row r="66" spans="2:10" x14ac:dyDescent="0.3">
      <c r="B66" s="3" t="s">
        <v>87</v>
      </c>
      <c r="C66" s="3" t="s">
        <v>68</v>
      </c>
      <c r="D66" s="3" t="s">
        <v>20</v>
      </c>
      <c r="E66" s="3" t="s">
        <v>12</v>
      </c>
      <c r="F66" s="12">
        <v>36419</v>
      </c>
      <c r="G66" s="3">
        <v>61</v>
      </c>
      <c r="H66" s="3">
        <v>71</v>
      </c>
      <c r="I66" s="3">
        <v>132</v>
      </c>
      <c r="J66" s="3">
        <v>66</v>
      </c>
    </row>
    <row r="67" spans="2:10" x14ac:dyDescent="0.3">
      <c r="B67" s="3" t="s">
        <v>88</v>
      </c>
      <c r="C67" s="3" t="s">
        <v>27</v>
      </c>
      <c r="D67" s="3" t="s">
        <v>35</v>
      </c>
      <c r="E67" s="3" t="s">
        <v>12</v>
      </c>
      <c r="F67" s="12">
        <v>38847</v>
      </c>
      <c r="G67" s="3">
        <v>99</v>
      </c>
      <c r="H67" s="3">
        <v>75</v>
      </c>
      <c r="I67" s="3">
        <v>174</v>
      </c>
      <c r="J67" s="3">
        <v>87</v>
      </c>
    </row>
    <row r="68" spans="2:10" x14ac:dyDescent="0.3">
      <c r="B68" s="3" t="s">
        <v>89</v>
      </c>
      <c r="C68" s="3" t="s">
        <v>53</v>
      </c>
      <c r="D68" s="3" t="s">
        <v>35</v>
      </c>
      <c r="E68" s="3" t="s">
        <v>15</v>
      </c>
      <c r="F68" s="12">
        <v>38987</v>
      </c>
      <c r="G68" s="3">
        <v>75</v>
      </c>
      <c r="H68" s="3">
        <v>61</v>
      </c>
      <c r="I68" s="3">
        <v>136</v>
      </c>
      <c r="J68" s="3">
        <v>68</v>
      </c>
    </row>
    <row r="69" spans="2:10" x14ac:dyDescent="0.3">
      <c r="B69" s="3" t="s">
        <v>90</v>
      </c>
      <c r="C69" s="3" t="s">
        <v>29</v>
      </c>
      <c r="D69" s="3" t="s">
        <v>11</v>
      </c>
      <c r="E69" s="3" t="s">
        <v>15</v>
      </c>
      <c r="F69" s="12">
        <v>41157</v>
      </c>
      <c r="G69" s="3">
        <v>77</v>
      </c>
      <c r="H69" s="3">
        <v>63</v>
      </c>
      <c r="I69" s="3">
        <v>140</v>
      </c>
      <c r="J69" s="3">
        <v>70</v>
      </c>
    </row>
    <row r="70" spans="2:10" x14ac:dyDescent="0.3">
      <c r="B70" s="3" t="s">
        <v>91</v>
      </c>
      <c r="C70" s="3" t="s">
        <v>29</v>
      </c>
      <c r="D70" s="3" t="s">
        <v>35</v>
      </c>
      <c r="E70" s="3" t="s">
        <v>12</v>
      </c>
      <c r="F70" s="12">
        <v>38828</v>
      </c>
      <c r="G70" s="3">
        <v>60</v>
      </c>
      <c r="H70" s="3">
        <v>86</v>
      </c>
      <c r="I70" s="3">
        <v>146</v>
      </c>
      <c r="J70" s="3">
        <v>73</v>
      </c>
    </row>
    <row r="71" spans="2:10" x14ac:dyDescent="0.3">
      <c r="B71" s="3" t="s">
        <v>92</v>
      </c>
      <c r="C71" s="3" t="s">
        <v>22</v>
      </c>
      <c r="D71" s="3" t="s">
        <v>20</v>
      </c>
      <c r="E71" s="3" t="s">
        <v>12</v>
      </c>
      <c r="F71" s="12">
        <v>36441</v>
      </c>
      <c r="G71" s="3">
        <v>97</v>
      </c>
      <c r="H71" s="3">
        <v>94</v>
      </c>
      <c r="I71" s="3">
        <v>191</v>
      </c>
      <c r="J71" s="3">
        <v>95.5</v>
      </c>
    </row>
    <row r="72" spans="2:10" x14ac:dyDescent="0.3">
      <c r="B72" s="3" t="s">
        <v>93</v>
      </c>
      <c r="C72" s="3" t="s">
        <v>25</v>
      </c>
      <c r="D72" s="3" t="s">
        <v>20</v>
      </c>
      <c r="E72" s="3" t="s">
        <v>12</v>
      </c>
      <c r="F72" s="12">
        <v>35908</v>
      </c>
      <c r="G72" s="3">
        <v>75</v>
      </c>
      <c r="H72" s="3">
        <v>90</v>
      </c>
      <c r="I72" s="3">
        <v>165</v>
      </c>
      <c r="J72" s="3">
        <v>82.5</v>
      </c>
    </row>
    <row r="73" spans="2:10" x14ac:dyDescent="0.3">
      <c r="B73" s="3" t="s">
        <v>94</v>
      </c>
      <c r="C73" s="3" t="s">
        <v>68</v>
      </c>
      <c r="D73" s="3" t="s">
        <v>11</v>
      </c>
      <c r="E73" s="3" t="s">
        <v>12</v>
      </c>
      <c r="F73" s="12">
        <v>41765</v>
      </c>
      <c r="G73" s="3">
        <v>81</v>
      </c>
      <c r="H73" s="3">
        <v>65</v>
      </c>
      <c r="I73" s="3">
        <v>146</v>
      </c>
      <c r="J73" s="3">
        <v>73</v>
      </c>
    </row>
    <row r="74" spans="2:10" x14ac:dyDescent="0.3">
      <c r="B74" s="3" t="s">
        <v>95</v>
      </c>
      <c r="C74" s="3" t="s">
        <v>10</v>
      </c>
      <c r="D74" s="3" t="s">
        <v>23</v>
      </c>
      <c r="E74" s="3" t="s">
        <v>12</v>
      </c>
      <c r="F74" s="12">
        <v>38889</v>
      </c>
      <c r="G74" s="3">
        <v>62</v>
      </c>
      <c r="H74" s="3">
        <v>70</v>
      </c>
      <c r="I74" s="3">
        <v>132</v>
      </c>
      <c r="J74" s="3">
        <v>66</v>
      </c>
    </row>
    <row r="75" spans="2:10" x14ac:dyDescent="0.3">
      <c r="B75" s="3" t="s">
        <v>96</v>
      </c>
      <c r="C75" s="3" t="s">
        <v>25</v>
      </c>
      <c r="D75" s="3" t="s">
        <v>11</v>
      </c>
      <c r="E75" s="3" t="s">
        <v>12</v>
      </c>
      <c r="F75" s="12">
        <v>41873</v>
      </c>
      <c r="G75" s="3">
        <v>76</v>
      </c>
      <c r="H75" s="3">
        <v>89</v>
      </c>
      <c r="I75" s="3">
        <v>165</v>
      </c>
      <c r="J75" s="3">
        <v>82.5</v>
      </c>
    </row>
    <row r="76" spans="2:10" x14ac:dyDescent="0.3">
      <c r="B76" s="3" t="s">
        <v>97</v>
      </c>
      <c r="C76" s="3" t="s">
        <v>22</v>
      </c>
      <c r="D76" s="3" t="s">
        <v>23</v>
      </c>
      <c r="E76" s="3" t="s">
        <v>12</v>
      </c>
      <c r="F76" s="12">
        <v>40102</v>
      </c>
      <c r="G76" s="3">
        <v>62</v>
      </c>
      <c r="H76" s="3">
        <v>67</v>
      </c>
      <c r="I76" s="3">
        <v>129</v>
      </c>
      <c r="J76" s="3">
        <v>64.5</v>
      </c>
    </row>
    <row r="77" spans="2:10" x14ac:dyDescent="0.3">
      <c r="B77" s="3" t="s">
        <v>98</v>
      </c>
      <c r="C77" s="3" t="s">
        <v>22</v>
      </c>
      <c r="D77" s="3" t="s">
        <v>11</v>
      </c>
      <c r="E77" s="3" t="s">
        <v>12</v>
      </c>
      <c r="F77" s="12">
        <v>41914</v>
      </c>
      <c r="G77" s="3">
        <v>99</v>
      </c>
      <c r="H77" s="3">
        <v>90</v>
      </c>
      <c r="I77" s="3">
        <v>189</v>
      </c>
      <c r="J77" s="3">
        <v>94.5</v>
      </c>
    </row>
    <row r="78" spans="2:10" x14ac:dyDescent="0.3">
      <c r="B78" s="3" t="s">
        <v>99</v>
      </c>
      <c r="C78" s="3" t="s">
        <v>68</v>
      </c>
      <c r="D78" s="3" t="s">
        <v>35</v>
      </c>
      <c r="E78" s="3" t="s">
        <v>12</v>
      </c>
      <c r="F78" s="12">
        <v>37237</v>
      </c>
      <c r="G78" s="3">
        <v>60</v>
      </c>
      <c r="H78" s="3">
        <v>94</v>
      </c>
      <c r="I78" s="3">
        <v>154</v>
      </c>
      <c r="J78" s="3">
        <v>77</v>
      </c>
    </row>
    <row r="79" spans="2:10" x14ac:dyDescent="0.3">
      <c r="B79" s="3" t="s">
        <v>100</v>
      </c>
      <c r="C79" s="3" t="s">
        <v>25</v>
      </c>
      <c r="D79" s="3" t="s">
        <v>11</v>
      </c>
      <c r="E79" s="3" t="s">
        <v>12</v>
      </c>
      <c r="F79" s="12">
        <v>42951</v>
      </c>
      <c r="G79" s="3">
        <v>97</v>
      </c>
      <c r="H79" s="3">
        <v>88</v>
      </c>
      <c r="I79" s="3">
        <v>185</v>
      </c>
      <c r="J79" s="3">
        <v>92.5</v>
      </c>
    </row>
    <row r="80" spans="2:10" x14ac:dyDescent="0.3">
      <c r="B80" s="3" t="s">
        <v>101</v>
      </c>
      <c r="C80" s="3" t="s">
        <v>29</v>
      </c>
      <c r="D80" s="3" t="s">
        <v>11</v>
      </c>
      <c r="E80" s="3" t="s">
        <v>15</v>
      </c>
      <c r="F80" s="12">
        <v>42352</v>
      </c>
      <c r="G80" s="3">
        <v>96</v>
      </c>
      <c r="H80" s="3">
        <v>97</v>
      </c>
      <c r="I80" s="3">
        <v>193</v>
      </c>
      <c r="J80" s="3">
        <v>96.5</v>
      </c>
    </row>
    <row r="81" spans="2:10" x14ac:dyDescent="0.3">
      <c r="B81" s="3" t="s">
        <v>98</v>
      </c>
      <c r="C81" s="3" t="s">
        <v>22</v>
      </c>
      <c r="D81" s="3" t="s">
        <v>11</v>
      </c>
      <c r="E81" s="3" t="s">
        <v>12</v>
      </c>
      <c r="F81" s="12">
        <v>41914</v>
      </c>
      <c r="G81" s="3">
        <v>99</v>
      </c>
      <c r="H81" s="3">
        <v>90</v>
      </c>
      <c r="I81" s="3">
        <v>189</v>
      </c>
      <c r="J81" s="3">
        <v>94.5</v>
      </c>
    </row>
    <row r="82" spans="2:10" x14ac:dyDescent="0.3">
      <c r="B82" s="3" t="s">
        <v>99</v>
      </c>
      <c r="C82" s="3" t="s">
        <v>68</v>
      </c>
      <c r="D82" s="3" t="s">
        <v>35</v>
      </c>
      <c r="E82" s="3" t="s">
        <v>12</v>
      </c>
      <c r="F82" s="12">
        <v>37237</v>
      </c>
      <c r="G82" s="3">
        <v>60</v>
      </c>
      <c r="H82" s="3">
        <v>94</v>
      </c>
      <c r="I82" s="3">
        <v>154</v>
      </c>
      <c r="J82" s="3">
        <v>77</v>
      </c>
    </row>
    <row r="83" spans="2:10" x14ac:dyDescent="0.3">
      <c r="B83" s="3" t="s">
        <v>100</v>
      </c>
      <c r="C83" s="3" t="s">
        <v>25</v>
      </c>
      <c r="D83" s="3" t="s">
        <v>11</v>
      </c>
      <c r="E83" s="3" t="s">
        <v>12</v>
      </c>
      <c r="F83" s="12">
        <v>42951</v>
      </c>
      <c r="G83" s="3">
        <v>72</v>
      </c>
      <c r="H83" s="3">
        <v>88</v>
      </c>
      <c r="I83" s="3">
        <v>160</v>
      </c>
      <c r="J83" s="3">
        <v>80</v>
      </c>
    </row>
    <row r="84" spans="2:10" x14ac:dyDescent="0.3">
      <c r="B84" s="4" t="s">
        <v>101</v>
      </c>
      <c r="C84" s="4" t="s">
        <v>29</v>
      </c>
      <c r="D84" s="4" t="s">
        <v>11</v>
      </c>
      <c r="E84" s="4" t="s">
        <v>15</v>
      </c>
      <c r="F84" s="13">
        <v>42352</v>
      </c>
      <c r="G84" s="4">
        <v>80</v>
      </c>
      <c r="H84" s="4">
        <v>97</v>
      </c>
      <c r="I84" s="4">
        <v>177</v>
      </c>
      <c r="J84" s="4">
        <v>88.5</v>
      </c>
    </row>
  </sheetData>
  <phoneticPr fontId="2" type="noConversion"/>
  <dataValidations count="1">
    <dataValidation type="list" allowBlank="1" showInputMessage="1" showErrorMessage="1" sqref="M2" xr:uid="{6BE7F478-6058-457F-8CA5-71C0B3EA4C3B}">
      <formula1>소속명</formula1>
    </dataValidation>
  </dataValidations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1EC007-69CB-4659-9D3C-91E9E467DE5E}">
  <sheetPr codeName="Sheet5">
    <tabColor rgb="FF0070C0"/>
  </sheetPr>
  <dimension ref="B1:T84"/>
  <sheetViews>
    <sheetView zoomScale="115" zoomScaleNormal="115" workbookViewId="0">
      <selection activeCell="B2" sqref="B2:J2"/>
    </sheetView>
  </sheetViews>
  <sheetFormatPr defaultRowHeight="16.5" x14ac:dyDescent="0.3"/>
  <cols>
    <col min="1" max="1" width="1.625" customWidth="1"/>
    <col min="3" max="3" width="11" bestFit="1" customWidth="1"/>
    <col min="4" max="5" width="5.5" bestFit="1" customWidth="1"/>
    <col min="6" max="6" width="11.125" style="14" bestFit="1" customWidth="1"/>
    <col min="7" max="7" width="6.875" bestFit="1" customWidth="1"/>
    <col min="8" max="8" width="6.75" bestFit="1" customWidth="1"/>
    <col min="9" max="10" width="5.5" bestFit="1" customWidth="1"/>
    <col min="11" max="11" width="2.375" customWidth="1"/>
    <col min="13" max="13" width="11.625" customWidth="1"/>
  </cols>
  <sheetData>
    <row r="1" spans="2:20" ht="7.5" customHeight="1" thickBot="1" x14ac:dyDescent="0.35"/>
    <row r="2" spans="2:20" ht="30" customHeight="1" thickTop="1" thickBot="1" x14ac:dyDescent="0.35">
      <c r="B2" s="80" t="s">
        <v>102</v>
      </c>
      <c r="C2" s="81"/>
      <c r="D2" s="81"/>
      <c r="E2" s="81"/>
      <c r="F2" s="81"/>
      <c r="G2" s="81"/>
      <c r="H2" s="81"/>
      <c r="I2" s="81"/>
      <c r="J2" s="81"/>
      <c r="L2" s="10" t="s">
        <v>1</v>
      </c>
      <c r="M2" s="11" t="s">
        <v>22</v>
      </c>
    </row>
    <row r="3" spans="2:20" ht="7.5" customHeight="1" thickTop="1" x14ac:dyDescent="0.3"/>
    <row r="4" spans="2:20" x14ac:dyDescent="0.3">
      <c r="B4" s="5" t="s">
        <v>0</v>
      </c>
      <c r="C4" s="6" t="s">
        <v>1</v>
      </c>
      <c r="D4" s="6" t="s">
        <v>2</v>
      </c>
      <c r="E4" s="6" t="s">
        <v>3</v>
      </c>
      <c r="F4" s="15" t="s">
        <v>4</v>
      </c>
      <c r="G4" s="6" t="s">
        <v>5</v>
      </c>
      <c r="H4" s="6" t="s">
        <v>6</v>
      </c>
      <c r="I4" s="6" t="s">
        <v>7</v>
      </c>
      <c r="J4" s="7" t="s">
        <v>8</v>
      </c>
      <c r="L4" s="5" t="s">
        <v>0</v>
      </c>
      <c r="M4" s="6" t="s">
        <v>1</v>
      </c>
      <c r="N4" s="6" t="s">
        <v>2</v>
      </c>
      <c r="O4" s="6" t="s">
        <v>3</v>
      </c>
      <c r="P4" s="15" t="s">
        <v>4</v>
      </c>
      <c r="Q4" s="6" t="s">
        <v>5</v>
      </c>
      <c r="R4" s="6" t="s">
        <v>6</v>
      </c>
      <c r="S4" s="6" t="s">
        <v>7</v>
      </c>
      <c r="T4" s="7" t="s">
        <v>8</v>
      </c>
    </row>
    <row r="5" spans="2:20" x14ac:dyDescent="0.3">
      <c r="B5" s="3" t="s">
        <v>9</v>
      </c>
      <c r="C5" s="3" t="s">
        <v>10</v>
      </c>
      <c r="D5" s="3" t="s">
        <v>11</v>
      </c>
      <c r="E5" s="3" t="s">
        <v>12</v>
      </c>
      <c r="F5" s="12">
        <v>42830</v>
      </c>
      <c r="G5" s="3">
        <v>97</v>
      </c>
      <c r="H5" s="3">
        <v>70</v>
      </c>
      <c r="I5" s="3">
        <v>167</v>
      </c>
      <c r="J5" s="3">
        <v>83.5</v>
      </c>
      <c r="L5" t="str" cm="1">
        <f t="array" ref="L5:T15">_xlfn._xlws.SORT(_xlfn._xlws.FILTER(B:J,C:C=M2),9,-1)</f>
        <v>박문수</v>
      </c>
      <c r="M5" t="str">
        <v>영업1팀</v>
      </c>
      <c r="N5" t="str">
        <v>사원</v>
      </c>
      <c r="O5" t="str">
        <v>남</v>
      </c>
      <c r="P5">
        <v>41312</v>
      </c>
      <c r="Q5">
        <v>92</v>
      </c>
      <c r="R5">
        <v>99</v>
      </c>
      <c r="S5">
        <v>191</v>
      </c>
      <c r="T5">
        <v>95.5</v>
      </c>
    </row>
    <row r="6" spans="2:20" x14ac:dyDescent="0.3">
      <c r="B6" s="3" t="s">
        <v>13</v>
      </c>
      <c r="C6" s="3" t="s">
        <v>14</v>
      </c>
      <c r="D6" s="3" t="s">
        <v>11</v>
      </c>
      <c r="E6" s="3" t="s">
        <v>15</v>
      </c>
      <c r="F6" s="12">
        <v>40563</v>
      </c>
      <c r="G6" s="3">
        <v>93</v>
      </c>
      <c r="H6" s="3">
        <v>79</v>
      </c>
      <c r="I6" s="3">
        <v>172</v>
      </c>
      <c r="J6" s="3">
        <v>86</v>
      </c>
      <c r="L6" t="str">
        <v>태조</v>
      </c>
      <c r="M6" t="str">
        <v>영업1팀</v>
      </c>
      <c r="N6" t="str">
        <v>부장</v>
      </c>
      <c r="O6" t="str">
        <v>남</v>
      </c>
      <c r="P6">
        <v>36441</v>
      </c>
      <c r="Q6">
        <v>97</v>
      </c>
      <c r="R6">
        <v>94</v>
      </c>
      <c r="S6">
        <v>191</v>
      </c>
      <c r="T6">
        <v>95.5</v>
      </c>
    </row>
    <row r="7" spans="2:20" x14ac:dyDescent="0.3">
      <c r="B7" s="3" t="s">
        <v>16</v>
      </c>
      <c r="C7" s="3" t="s">
        <v>17</v>
      </c>
      <c r="D7" s="3" t="s">
        <v>11</v>
      </c>
      <c r="E7" s="3" t="s">
        <v>12</v>
      </c>
      <c r="F7" s="12">
        <v>40809</v>
      </c>
      <c r="G7" s="3">
        <v>63</v>
      </c>
      <c r="H7" s="3">
        <v>75</v>
      </c>
      <c r="I7" s="3">
        <v>138</v>
      </c>
      <c r="J7" s="3">
        <v>69</v>
      </c>
      <c r="L7" t="str">
        <v>홍익한</v>
      </c>
      <c r="M7" t="str">
        <v>영업1팀</v>
      </c>
      <c r="N7" t="str">
        <v>사원</v>
      </c>
      <c r="O7" t="str">
        <v>남</v>
      </c>
      <c r="P7">
        <v>41914</v>
      </c>
      <c r="Q7">
        <v>99</v>
      </c>
      <c r="R7">
        <v>90</v>
      </c>
      <c r="S7">
        <v>189</v>
      </c>
      <c r="T7">
        <v>94.5</v>
      </c>
    </row>
    <row r="8" spans="2:20" x14ac:dyDescent="0.3">
      <c r="B8" s="3" t="s">
        <v>18</v>
      </c>
      <c r="C8" s="3" t="s">
        <v>14</v>
      </c>
      <c r="D8" s="3" t="s">
        <v>11</v>
      </c>
      <c r="E8" s="3" t="s">
        <v>15</v>
      </c>
      <c r="F8" s="12">
        <v>42269</v>
      </c>
      <c r="G8" s="3">
        <v>89</v>
      </c>
      <c r="H8" s="3">
        <v>82</v>
      </c>
      <c r="I8" s="3">
        <v>171</v>
      </c>
      <c r="J8" s="3">
        <v>85.5</v>
      </c>
      <c r="L8" t="str">
        <v>홍익한</v>
      </c>
      <c r="M8" t="str">
        <v>영업1팀</v>
      </c>
      <c r="N8" t="str">
        <v>사원</v>
      </c>
      <c r="O8" t="str">
        <v>남</v>
      </c>
      <c r="P8">
        <v>41914</v>
      </c>
      <c r="Q8">
        <v>99</v>
      </c>
      <c r="R8">
        <v>90</v>
      </c>
      <c r="S8">
        <v>189</v>
      </c>
      <c r="T8">
        <v>94.5</v>
      </c>
    </row>
    <row r="9" spans="2:20" x14ac:dyDescent="0.3">
      <c r="B9" s="3" t="s">
        <v>19</v>
      </c>
      <c r="C9" s="3" t="s">
        <v>14</v>
      </c>
      <c r="D9" s="3" t="s">
        <v>20</v>
      </c>
      <c r="E9" s="3" t="s">
        <v>12</v>
      </c>
      <c r="F9" s="12">
        <v>35622</v>
      </c>
      <c r="G9" s="3">
        <v>93</v>
      </c>
      <c r="H9" s="3">
        <v>84</v>
      </c>
      <c r="I9" s="3">
        <v>177</v>
      </c>
      <c r="J9" s="3">
        <v>88.5</v>
      </c>
      <c r="L9" t="str">
        <v>사육신</v>
      </c>
      <c r="M9" t="str">
        <v>영업1팀</v>
      </c>
      <c r="N9" t="str">
        <v>차장</v>
      </c>
      <c r="O9" t="str">
        <v>여</v>
      </c>
      <c r="P9">
        <v>37049</v>
      </c>
      <c r="Q9">
        <v>92</v>
      </c>
      <c r="R9">
        <v>91</v>
      </c>
      <c r="S9">
        <v>183</v>
      </c>
      <c r="T9">
        <v>91.5</v>
      </c>
    </row>
    <row r="10" spans="2:20" x14ac:dyDescent="0.3">
      <c r="B10" s="3" t="s">
        <v>21</v>
      </c>
      <c r="C10" s="3" t="s">
        <v>22</v>
      </c>
      <c r="D10" s="3" t="s">
        <v>23</v>
      </c>
      <c r="E10" s="3" t="s">
        <v>12</v>
      </c>
      <c r="F10" s="12">
        <v>39708</v>
      </c>
      <c r="G10" s="3">
        <v>77</v>
      </c>
      <c r="H10" s="3">
        <v>70</v>
      </c>
      <c r="I10" s="3">
        <v>147</v>
      </c>
      <c r="J10" s="3">
        <v>73.5</v>
      </c>
      <c r="L10" t="str">
        <v>생육신</v>
      </c>
      <c r="M10" t="str">
        <v>영업1팀</v>
      </c>
      <c r="N10" t="str">
        <v>과장</v>
      </c>
      <c r="O10" t="str">
        <v>남</v>
      </c>
      <c r="P10">
        <v>37418</v>
      </c>
      <c r="Q10">
        <v>81</v>
      </c>
      <c r="R10">
        <v>78</v>
      </c>
      <c r="S10">
        <v>159</v>
      </c>
      <c r="T10">
        <v>79.5</v>
      </c>
    </row>
    <row r="11" spans="2:20" x14ac:dyDescent="0.3">
      <c r="B11" s="3" t="s">
        <v>24</v>
      </c>
      <c r="C11" s="3" t="s">
        <v>25</v>
      </c>
      <c r="D11" s="3" t="s">
        <v>11</v>
      </c>
      <c r="E11" s="3" t="s">
        <v>12</v>
      </c>
      <c r="F11" s="12">
        <v>42332</v>
      </c>
      <c r="G11" s="3">
        <v>82</v>
      </c>
      <c r="H11" s="3">
        <v>70</v>
      </c>
      <c r="I11" s="3">
        <v>152</v>
      </c>
      <c r="J11" s="3">
        <v>76</v>
      </c>
      <c r="L11" t="str">
        <v>삼학사</v>
      </c>
      <c r="M11" t="str">
        <v>영업1팀</v>
      </c>
      <c r="N11" t="str">
        <v>사원</v>
      </c>
      <c r="O11" t="str">
        <v>남</v>
      </c>
      <c r="P11">
        <v>41568</v>
      </c>
      <c r="Q11">
        <v>78</v>
      </c>
      <c r="R11">
        <v>78</v>
      </c>
      <c r="S11">
        <v>156</v>
      </c>
      <c r="T11">
        <v>78</v>
      </c>
    </row>
    <row r="12" spans="2:20" x14ac:dyDescent="0.3">
      <c r="B12" s="3" t="s">
        <v>26</v>
      </c>
      <c r="C12" s="3" t="s">
        <v>27</v>
      </c>
      <c r="D12" s="3" t="s">
        <v>11</v>
      </c>
      <c r="E12" s="3" t="s">
        <v>15</v>
      </c>
      <c r="F12" s="12">
        <v>42009</v>
      </c>
      <c r="G12" s="3">
        <v>87</v>
      </c>
      <c r="H12" s="3">
        <v>65</v>
      </c>
      <c r="I12" s="3">
        <v>152</v>
      </c>
      <c r="J12" s="3">
        <v>76</v>
      </c>
      <c r="L12" t="str">
        <v>권율</v>
      </c>
      <c r="M12" t="str">
        <v>영업1팀</v>
      </c>
      <c r="N12" t="str">
        <v>대리</v>
      </c>
      <c r="O12" t="str">
        <v>남</v>
      </c>
      <c r="P12">
        <v>39708</v>
      </c>
      <c r="Q12">
        <v>77</v>
      </c>
      <c r="R12">
        <v>70</v>
      </c>
      <c r="S12">
        <v>147</v>
      </c>
      <c r="T12">
        <v>73.5</v>
      </c>
    </row>
    <row r="13" spans="2:20" x14ac:dyDescent="0.3">
      <c r="B13" s="3" t="s">
        <v>28</v>
      </c>
      <c r="C13" s="3" t="s">
        <v>29</v>
      </c>
      <c r="D13" s="3" t="s">
        <v>20</v>
      </c>
      <c r="E13" s="3" t="s">
        <v>12</v>
      </c>
      <c r="F13" s="12">
        <v>35270</v>
      </c>
      <c r="G13" s="3">
        <v>100</v>
      </c>
      <c r="H13" s="3">
        <v>79</v>
      </c>
      <c r="I13" s="3">
        <v>179</v>
      </c>
      <c r="J13" s="3">
        <v>89.5</v>
      </c>
      <c r="L13" t="str">
        <v>논개</v>
      </c>
      <c r="M13" t="str">
        <v>영업1팀</v>
      </c>
      <c r="N13" t="str">
        <v>과장</v>
      </c>
      <c r="O13" t="str">
        <v>여</v>
      </c>
      <c r="P13">
        <v>38810</v>
      </c>
      <c r="Q13">
        <v>74</v>
      </c>
      <c r="R13">
        <v>63</v>
      </c>
      <c r="S13">
        <v>137</v>
      </c>
      <c r="T13">
        <v>68.5</v>
      </c>
    </row>
    <row r="14" spans="2:20" x14ac:dyDescent="0.3">
      <c r="B14" s="3" t="s">
        <v>30</v>
      </c>
      <c r="C14" s="3" t="s">
        <v>25</v>
      </c>
      <c r="D14" s="3" t="s">
        <v>31</v>
      </c>
      <c r="E14" s="3" t="s">
        <v>15</v>
      </c>
      <c r="F14" s="12">
        <v>37421</v>
      </c>
      <c r="G14" s="3">
        <v>78</v>
      </c>
      <c r="H14" s="3">
        <v>84</v>
      </c>
      <c r="I14" s="3">
        <v>162</v>
      </c>
      <c r="J14" s="3">
        <v>81</v>
      </c>
      <c r="L14" t="str">
        <v>임꺽정</v>
      </c>
      <c r="M14" t="str">
        <v>영업1팀</v>
      </c>
      <c r="N14" t="str">
        <v>대리</v>
      </c>
      <c r="O14" t="str">
        <v>남</v>
      </c>
      <c r="P14">
        <v>39542</v>
      </c>
      <c r="Q14">
        <v>73</v>
      </c>
      <c r="R14">
        <v>60</v>
      </c>
      <c r="S14">
        <v>133</v>
      </c>
      <c r="T14">
        <v>66.5</v>
      </c>
    </row>
    <row r="15" spans="2:20" x14ac:dyDescent="0.3">
      <c r="B15" s="3" t="s">
        <v>32</v>
      </c>
      <c r="C15" s="3" t="s">
        <v>25</v>
      </c>
      <c r="D15" s="3" t="s">
        <v>11</v>
      </c>
      <c r="E15" s="3" t="s">
        <v>15</v>
      </c>
      <c r="F15" s="12">
        <v>40703</v>
      </c>
      <c r="G15" s="3">
        <v>71</v>
      </c>
      <c r="H15" s="3">
        <v>92</v>
      </c>
      <c r="I15" s="3">
        <v>163</v>
      </c>
      <c r="J15" s="3">
        <v>81.5</v>
      </c>
      <c r="L15" t="str">
        <v>홍길동</v>
      </c>
      <c r="M15" t="str">
        <v>영업1팀</v>
      </c>
      <c r="N15" t="str">
        <v>대리</v>
      </c>
      <c r="O15" t="str">
        <v>남</v>
      </c>
      <c r="P15">
        <v>40102</v>
      </c>
      <c r="Q15">
        <v>62</v>
      </c>
      <c r="R15">
        <v>67</v>
      </c>
      <c r="S15">
        <v>129</v>
      </c>
      <c r="T15">
        <v>64.5</v>
      </c>
    </row>
    <row r="16" spans="2:20" x14ac:dyDescent="0.3">
      <c r="B16" s="3" t="s">
        <v>33</v>
      </c>
      <c r="C16" s="3" t="s">
        <v>10</v>
      </c>
      <c r="D16" s="3" t="s">
        <v>20</v>
      </c>
      <c r="E16" s="3" t="s">
        <v>15</v>
      </c>
      <c r="F16" s="12">
        <v>35786</v>
      </c>
      <c r="G16" s="3">
        <v>66</v>
      </c>
      <c r="H16" s="3">
        <v>91</v>
      </c>
      <c r="I16" s="3">
        <v>157</v>
      </c>
      <c r="J16" s="3">
        <v>78.5</v>
      </c>
    </row>
    <row r="17" spans="2:10" x14ac:dyDescent="0.3">
      <c r="B17" s="3" t="s">
        <v>34</v>
      </c>
      <c r="C17" s="3" t="s">
        <v>25</v>
      </c>
      <c r="D17" s="3" t="s">
        <v>35</v>
      </c>
      <c r="E17" s="3" t="s">
        <v>12</v>
      </c>
      <c r="F17" s="12">
        <v>37421</v>
      </c>
      <c r="G17" s="3">
        <v>78</v>
      </c>
      <c r="H17" s="3">
        <v>97</v>
      </c>
      <c r="I17" s="3">
        <v>175</v>
      </c>
      <c r="J17" s="3">
        <v>87.5</v>
      </c>
    </row>
    <row r="18" spans="2:10" x14ac:dyDescent="0.3">
      <c r="B18" s="3" t="s">
        <v>36</v>
      </c>
      <c r="C18" s="3" t="s">
        <v>22</v>
      </c>
      <c r="D18" s="3" t="s">
        <v>35</v>
      </c>
      <c r="E18" s="3" t="s">
        <v>15</v>
      </c>
      <c r="F18" s="12">
        <v>38810</v>
      </c>
      <c r="G18" s="3">
        <v>74</v>
      </c>
      <c r="H18" s="3">
        <v>63</v>
      </c>
      <c r="I18" s="3">
        <v>137</v>
      </c>
      <c r="J18" s="3">
        <v>68.5</v>
      </c>
    </row>
    <row r="19" spans="2:10" x14ac:dyDescent="0.3">
      <c r="B19" s="3" t="s">
        <v>37</v>
      </c>
      <c r="C19" s="3" t="s">
        <v>38</v>
      </c>
      <c r="D19" s="3" t="s">
        <v>20</v>
      </c>
      <c r="E19" s="3" t="s">
        <v>15</v>
      </c>
      <c r="F19" s="12">
        <v>35997</v>
      </c>
      <c r="G19" s="3">
        <v>80</v>
      </c>
      <c r="H19" s="3">
        <v>74</v>
      </c>
      <c r="I19" s="3">
        <v>154</v>
      </c>
      <c r="J19" s="3">
        <v>77</v>
      </c>
    </row>
    <row r="20" spans="2:10" x14ac:dyDescent="0.3">
      <c r="B20" s="3" t="s">
        <v>39</v>
      </c>
      <c r="C20" s="3" t="s">
        <v>25</v>
      </c>
      <c r="D20" s="3" t="s">
        <v>31</v>
      </c>
      <c r="E20" s="3" t="s">
        <v>12</v>
      </c>
      <c r="F20" s="12">
        <v>36313</v>
      </c>
      <c r="G20" s="3">
        <v>89</v>
      </c>
      <c r="H20" s="3">
        <v>65</v>
      </c>
      <c r="I20" s="3">
        <v>154</v>
      </c>
      <c r="J20" s="3">
        <v>77</v>
      </c>
    </row>
    <row r="21" spans="2:10" x14ac:dyDescent="0.3">
      <c r="B21" s="3" t="s">
        <v>40</v>
      </c>
      <c r="C21" s="3" t="s">
        <v>10</v>
      </c>
      <c r="D21" s="3" t="s">
        <v>11</v>
      </c>
      <c r="E21" s="3" t="s">
        <v>15</v>
      </c>
      <c r="F21" s="12">
        <v>40869</v>
      </c>
      <c r="G21" s="3">
        <v>67</v>
      </c>
      <c r="H21" s="3">
        <v>67</v>
      </c>
      <c r="I21" s="3">
        <v>134</v>
      </c>
      <c r="J21" s="3">
        <v>67</v>
      </c>
    </row>
    <row r="22" spans="2:10" x14ac:dyDescent="0.3">
      <c r="B22" s="3" t="s">
        <v>41</v>
      </c>
      <c r="C22" s="3" t="s">
        <v>38</v>
      </c>
      <c r="D22" s="3" t="s">
        <v>35</v>
      </c>
      <c r="E22" s="3" t="s">
        <v>15</v>
      </c>
      <c r="F22" s="12">
        <v>37523</v>
      </c>
      <c r="G22" s="3">
        <v>70</v>
      </c>
      <c r="H22" s="3">
        <v>90</v>
      </c>
      <c r="I22" s="3">
        <v>160</v>
      </c>
      <c r="J22" s="3">
        <v>80</v>
      </c>
    </row>
    <row r="23" spans="2:10" x14ac:dyDescent="0.3">
      <c r="B23" s="3" t="s">
        <v>42</v>
      </c>
      <c r="C23" s="3" t="s">
        <v>17</v>
      </c>
      <c r="D23" s="3" t="s">
        <v>20</v>
      </c>
      <c r="E23" s="3" t="s">
        <v>12</v>
      </c>
      <c r="F23" s="12">
        <v>35083</v>
      </c>
      <c r="G23" s="3">
        <v>73</v>
      </c>
      <c r="H23" s="3">
        <v>72</v>
      </c>
      <c r="I23" s="3">
        <v>145</v>
      </c>
      <c r="J23" s="3">
        <v>72.5</v>
      </c>
    </row>
    <row r="24" spans="2:10" x14ac:dyDescent="0.3">
      <c r="B24" s="3" t="s">
        <v>43</v>
      </c>
      <c r="C24" s="3" t="s">
        <v>10</v>
      </c>
      <c r="D24" s="3" t="s">
        <v>31</v>
      </c>
      <c r="E24" s="3" t="s">
        <v>12</v>
      </c>
      <c r="F24" s="12">
        <v>35613</v>
      </c>
      <c r="G24" s="3">
        <v>72</v>
      </c>
      <c r="H24" s="3">
        <v>91</v>
      </c>
      <c r="I24" s="3">
        <v>163</v>
      </c>
      <c r="J24" s="3">
        <v>81.5</v>
      </c>
    </row>
    <row r="25" spans="2:10" x14ac:dyDescent="0.3">
      <c r="B25" s="3" t="s">
        <v>44</v>
      </c>
      <c r="C25" s="3" t="s">
        <v>29</v>
      </c>
      <c r="D25" s="3" t="s">
        <v>31</v>
      </c>
      <c r="E25" s="3" t="s">
        <v>12</v>
      </c>
      <c r="F25" s="12">
        <v>36993</v>
      </c>
      <c r="G25" s="3">
        <v>83</v>
      </c>
      <c r="H25" s="3">
        <v>93</v>
      </c>
      <c r="I25" s="3">
        <v>176</v>
      </c>
      <c r="J25" s="3">
        <v>88</v>
      </c>
    </row>
    <row r="26" spans="2:10" x14ac:dyDescent="0.3">
      <c r="B26" s="3" t="s">
        <v>45</v>
      </c>
      <c r="C26" s="3" t="s">
        <v>22</v>
      </c>
      <c r="D26" s="3" t="s">
        <v>11</v>
      </c>
      <c r="E26" s="3" t="s">
        <v>12</v>
      </c>
      <c r="F26" s="12">
        <v>41312</v>
      </c>
      <c r="G26" s="3">
        <v>92</v>
      </c>
      <c r="H26" s="3">
        <v>99</v>
      </c>
      <c r="I26" s="3">
        <v>191</v>
      </c>
      <c r="J26" s="3">
        <v>95.5</v>
      </c>
    </row>
    <row r="27" spans="2:10" x14ac:dyDescent="0.3">
      <c r="B27" s="3" t="s">
        <v>46</v>
      </c>
      <c r="C27" s="3" t="s">
        <v>38</v>
      </c>
      <c r="D27" s="3" t="s">
        <v>11</v>
      </c>
      <c r="E27" s="3" t="s">
        <v>15</v>
      </c>
      <c r="F27" s="12">
        <v>41278</v>
      </c>
      <c r="G27" s="3">
        <v>91</v>
      </c>
      <c r="H27" s="3">
        <v>60</v>
      </c>
      <c r="I27" s="3">
        <v>151</v>
      </c>
      <c r="J27" s="3">
        <v>75.5</v>
      </c>
    </row>
    <row r="28" spans="2:10" x14ac:dyDescent="0.3">
      <c r="B28" s="3" t="s">
        <v>47</v>
      </c>
      <c r="C28" s="3" t="s">
        <v>27</v>
      </c>
      <c r="D28" s="3" t="s">
        <v>23</v>
      </c>
      <c r="E28" s="3" t="s">
        <v>15</v>
      </c>
      <c r="F28" s="12">
        <v>40816</v>
      </c>
      <c r="G28" s="3">
        <v>69</v>
      </c>
      <c r="H28" s="3">
        <v>86</v>
      </c>
      <c r="I28" s="3">
        <v>155</v>
      </c>
      <c r="J28" s="3">
        <v>77.5</v>
      </c>
    </row>
    <row r="29" spans="2:10" x14ac:dyDescent="0.3">
      <c r="B29" s="3" t="s">
        <v>48</v>
      </c>
      <c r="C29" s="3" t="s">
        <v>14</v>
      </c>
      <c r="D29" s="3" t="s">
        <v>35</v>
      </c>
      <c r="E29" s="3" t="s">
        <v>12</v>
      </c>
      <c r="F29" s="12">
        <v>38980</v>
      </c>
      <c r="G29" s="3">
        <v>87</v>
      </c>
      <c r="H29" s="3">
        <v>92</v>
      </c>
      <c r="I29" s="3">
        <v>179</v>
      </c>
      <c r="J29" s="3">
        <v>89.5</v>
      </c>
    </row>
    <row r="30" spans="2:10" x14ac:dyDescent="0.3">
      <c r="B30" s="3" t="s">
        <v>49</v>
      </c>
      <c r="C30" s="3" t="s">
        <v>22</v>
      </c>
      <c r="D30" s="3" t="s">
        <v>31</v>
      </c>
      <c r="E30" s="3" t="s">
        <v>15</v>
      </c>
      <c r="F30" s="12">
        <v>37049</v>
      </c>
      <c r="G30" s="3">
        <v>92</v>
      </c>
      <c r="H30" s="3">
        <v>91</v>
      </c>
      <c r="I30" s="3">
        <v>183</v>
      </c>
      <c r="J30" s="3">
        <v>91.5</v>
      </c>
    </row>
    <row r="31" spans="2:10" x14ac:dyDescent="0.3">
      <c r="B31" s="3" t="s">
        <v>50</v>
      </c>
      <c r="C31" s="3" t="s">
        <v>22</v>
      </c>
      <c r="D31" s="3" t="s">
        <v>11</v>
      </c>
      <c r="E31" s="3" t="s">
        <v>12</v>
      </c>
      <c r="F31" s="12">
        <v>41568</v>
      </c>
      <c r="G31" s="3">
        <v>78</v>
      </c>
      <c r="H31" s="3">
        <v>78</v>
      </c>
      <c r="I31" s="3">
        <v>156</v>
      </c>
      <c r="J31" s="3">
        <v>78</v>
      </c>
    </row>
    <row r="32" spans="2:10" x14ac:dyDescent="0.3">
      <c r="B32" s="3" t="s">
        <v>51</v>
      </c>
      <c r="C32" s="3" t="s">
        <v>22</v>
      </c>
      <c r="D32" s="3" t="s">
        <v>35</v>
      </c>
      <c r="E32" s="3" t="s">
        <v>12</v>
      </c>
      <c r="F32" s="12">
        <v>37418</v>
      </c>
      <c r="G32" s="3">
        <v>81</v>
      </c>
      <c r="H32" s="3">
        <v>78</v>
      </c>
      <c r="I32" s="3">
        <v>159</v>
      </c>
      <c r="J32" s="3">
        <v>79.5</v>
      </c>
    </row>
    <row r="33" spans="2:10" x14ac:dyDescent="0.3">
      <c r="B33" s="3" t="s">
        <v>52</v>
      </c>
      <c r="C33" s="3" t="s">
        <v>53</v>
      </c>
      <c r="D33" s="3" t="s">
        <v>20</v>
      </c>
      <c r="E33" s="3" t="s">
        <v>15</v>
      </c>
      <c r="F33" s="12">
        <v>35235</v>
      </c>
      <c r="G33" s="3">
        <v>88</v>
      </c>
      <c r="H33" s="3">
        <v>92</v>
      </c>
      <c r="I33" s="3">
        <v>180</v>
      </c>
      <c r="J33" s="3">
        <v>90</v>
      </c>
    </row>
    <row r="34" spans="2:10" x14ac:dyDescent="0.3">
      <c r="B34" s="3" t="s">
        <v>54</v>
      </c>
      <c r="C34" s="3" t="s">
        <v>27</v>
      </c>
      <c r="D34" s="3" t="s">
        <v>35</v>
      </c>
      <c r="E34" s="3" t="s">
        <v>12</v>
      </c>
      <c r="F34" s="12">
        <v>38672</v>
      </c>
      <c r="G34" s="3">
        <v>75</v>
      </c>
      <c r="H34" s="3">
        <v>70</v>
      </c>
      <c r="I34" s="3">
        <v>145</v>
      </c>
      <c r="J34" s="3">
        <v>72.5</v>
      </c>
    </row>
    <row r="35" spans="2:10" x14ac:dyDescent="0.3">
      <c r="B35" s="3" t="s">
        <v>55</v>
      </c>
      <c r="C35" s="3" t="s">
        <v>17</v>
      </c>
      <c r="D35" s="3" t="s">
        <v>23</v>
      </c>
      <c r="E35" s="3" t="s">
        <v>12</v>
      </c>
      <c r="F35" s="12">
        <v>40826</v>
      </c>
      <c r="G35" s="3">
        <v>94</v>
      </c>
      <c r="H35" s="3">
        <v>84</v>
      </c>
      <c r="I35" s="3">
        <v>178</v>
      </c>
      <c r="J35" s="3">
        <v>89</v>
      </c>
    </row>
    <row r="36" spans="2:10" x14ac:dyDescent="0.3">
      <c r="B36" s="3" t="s">
        <v>56</v>
      </c>
      <c r="C36" s="3" t="s">
        <v>17</v>
      </c>
      <c r="D36" s="3" t="s">
        <v>35</v>
      </c>
      <c r="E36" s="3" t="s">
        <v>15</v>
      </c>
      <c r="F36" s="12">
        <v>38758</v>
      </c>
      <c r="G36" s="3">
        <v>67</v>
      </c>
      <c r="H36" s="3">
        <v>74</v>
      </c>
      <c r="I36" s="3">
        <v>141</v>
      </c>
      <c r="J36" s="3">
        <v>70.5</v>
      </c>
    </row>
    <row r="37" spans="2:10" x14ac:dyDescent="0.3">
      <c r="B37" s="3" t="s">
        <v>57</v>
      </c>
      <c r="C37" s="3" t="s">
        <v>27</v>
      </c>
      <c r="D37" s="3" t="s">
        <v>20</v>
      </c>
      <c r="E37" s="3" t="s">
        <v>12</v>
      </c>
      <c r="F37" s="12">
        <v>35257</v>
      </c>
      <c r="G37" s="3">
        <v>73</v>
      </c>
      <c r="H37" s="3">
        <v>99</v>
      </c>
      <c r="I37" s="3">
        <v>172</v>
      </c>
      <c r="J37" s="3">
        <v>86</v>
      </c>
    </row>
    <row r="38" spans="2:10" x14ac:dyDescent="0.3">
      <c r="B38" s="3" t="s">
        <v>58</v>
      </c>
      <c r="C38" s="3" t="s">
        <v>27</v>
      </c>
      <c r="D38" s="3" t="s">
        <v>23</v>
      </c>
      <c r="E38" s="3" t="s">
        <v>15</v>
      </c>
      <c r="F38" s="12">
        <v>39168</v>
      </c>
      <c r="G38" s="3">
        <v>87</v>
      </c>
      <c r="H38" s="3">
        <v>87</v>
      </c>
      <c r="I38" s="3">
        <v>174</v>
      </c>
      <c r="J38" s="3">
        <v>87</v>
      </c>
    </row>
    <row r="39" spans="2:10" x14ac:dyDescent="0.3">
      <c r="B39" s="3" t="s">
        <v>59</v>
      </c>
      <c r="C39" s="3" t="s">
        <v>25</v>
      </c>
      <c r="D39" s="3" t="s">
        <v>35</v>
      </c>
      <c r="E39" s="3" t="s">
        <v>12</v>
      </c>
      <c r="F39" s="12">
        <v>37335</v>
      </c>
      <c r="G39" s="3">
        <v>91</v>
      </c>
      <c r="H39" s="3">
        <v>77</v>
      </c>
      <c r="I39" s="3">
        <v>168</v>
      </c>
      <c r="J39" s="3">
        <v>84</v>
      </c>
    </row>
    <row r="40" spans="2:10" x14ac:dyDescent="0.3">
      <c r="B40" s="3" t="s">
        <v>60</v>
      </c>
      <c r="C40" s="3" t="s">
        <v>53</v>
      </c>
      <c r="D40" s="3" t="s">
        <v>11</v>
      </c>
      <c r="E40" s="3" t="s">
        <v>12</v>
      </c>
      <c r="F40" s="12">
        <v>40710</v>
      </c>
      <c r="G40" s="3">
        <v>66</v>
      </c>
      <c r="H40" s="3">
        <v>71</v>
      </c>
      <c r="I40" s="3">
        <v>137</v>
      </c>
      <c r="J40" s="3">
        <v>68.5</v>
      </c>
    </row>
    <row r="41" spans="2:10" x14ac:dyDescent="0.3">
      <c r="B41" s="3" t="s">
        <v>61</v>
      </c>
      <c r="C41" s="3" t="s">
        <v>38</v>
      </c>
      <c r="D41" s="3" t="s">
        <v>23</v>
      </c>
      <c r="E41" s="3" t="s">
        <v>15</v>
      </c>
      <c r="F41" s="12">
        <v>40788</v>
      </c>
      <c r="G41" s="3">
        <v>67</v>
      </c>
      <c r="H41" s="3">
        <v>60</v>
      </c>
      <c r="I41" s="3">
        <v>127</v>
      </c>
      <c r="J41" s="3">
        <v>63.5</v>
      </c>
    </row>
    <row r="42" spans="2:10" x14ac:dyDescent="0.3">
      <c r="B42" s="3" t="s">
        <v>62</v>
      </c>
      <c r="C42" s="3" t="s">
        <v>10</v>
      </c>
      <c r="D42" s="3" t="s">
        <v>35</v>
      </c>
      <c r="E42" s="3" t="s">
        <v>12</v>
      </c>
      <c r="F42" s="12">
        <v>38660</v>
      </c>
      <c r="G42" s="3">
        <v>88</v>
      </c>
      <c r="H42" s="3">
        <v>74</v>
      </c>
      <c r="I42" s="3">
        <v>162</v>
      </c>
      <c r="J42" s="3">
        <v>81</v>
      </c>
    </row>
    <row r="43" spans="2:10" x14ac:dyDescent="0.3">
      <c r="B43" s="3" t="s">
        <v>63</v>
      </c>
      <c r="C43" s="3" t="s">
        <v>27</v>
      </c>
      <c r="D43" s="3" t="s">
        <v>23</v>
      </c>
      <c r="E43" s="3" t="s">
        <v>12</v>
      </c>
      <c r="F43" s="12">
        <v>38891</v>
      </c>
      <c r="G43" s="3">
        <v>92</v>
      </c>
      <c r="H43" s="3">
        <v>94</v>
      </c>
      <c r="I43" s="3">
        <v>186</v>
      </c>
      <c r="J43" s="3">
        <v>93</v>
      </c>
    </row>
    <row r="44" spans="2:10" x14ac:dyDescent="0.3">
      <c r="B44" s="3" t="s">
        <v>64</v>
      </c>
      <c r="C44" s="3" t="s">
        <v>27</v>
      </c>
      <c r="D44" s="3" t="s">
        <v>31</v>
      </c>
      <c r="E44" s="3" t="s">
        <v>12</v>
      </c>
      <c r="F44" s="12">
        <v>36171</v>
      </c>
      <c r="G44" s="3">
        <v>84</v>
      </c>
      <c r="H44" s="3">
        <v>94</v>
      </c>
      <c r="I44" s="3">
        <v>178</v>
      </c>
      <c r="J44" s="3">
        <v>89</v>
      </c>
    </row>
    <row r="45" spans="2:10" x14ac:dyDescent="0.3">
      <c r="B45" s="3" t="s">
        <v>65</v>
      </c>
      <c r="C45" s="3" t="s">
        <v>14</v>
      </c>
      <c r="D45" s="3" t="s">
        <v>23</v>
      </c>
      <c r="E45" s="3" t="s">
        <v>12</v>
      </c>
      <c r="F45" s="12">
        <v>39157</v>
      </c>
      <c r="G45" s="3">
        <v>84</v>
      </c>
      <c r="H45" s="3">
        <v>62</v>
      </c>
      <c r="I45" s="3">
        <v>146</v>
      </c>
      <c r="J45" s="3">
        <v>73</v>
      </c>
    </row>
    <row r="46" spans="2:10" x14ac:dyDescent="0.3">
      <c r="B46" s="3" t="s">
        <v>66</v>
      </c>
      <c r="C46" s="3" t="s">
        <v>27</v>
      </c>
      <c r="D46" s="3" t="s">
        <v>11</v>
      </c>
      <c r="E46" s="3" t="s">
        <v>12</v>
      </c>
      <c r="F46" s="12">
        <v>41589</v>
      </c>
      <c r="G46" s="3">
        <v>68</v>
      </c>
      <c r="H46" s="3">
        <v>73</v>
      </c>
      <c r="I46" s="3">
        <v>141</v>
      </c>
      <c r="J46" s="3">
        <v>70.5</v>
      </c>
    </row>
    <row r="47" spans="2:10" x14ac:dyDescent="0.3">
      <c r="B47" s="3" t="s">
        <v>67</v>
      </c>
      <c r="C47" s="3" t="s">
        <v>68</v>
      </c>
      <c r="D47" s="3" t="s">
        <v>23</v>
      </c>
      <c r="E47" s="3" t="s">
        <v>15</v>
      </c>
      <c r="F47" s="12">
        <v>40080</v>
      </c>
      <c r="G47" s="3">
        <v>63</v>
      </c>
      <c r="H47" s="3">
        <v>62</v>
      </c>
      <c r="I47" s="3">
        <v>125</v>
      </c>
      <c r="J47" s="3">
        <v>62.5</v>
      </c>
    </row>
    <row r="48" spans="2:10" x14ac:dyDescent="0.3">
      <c r="B48" s="3" t="s">
        <v>69</v>
      </c>
      <c r="C48" s="3" t="s">
        <v>14</v>
      </c>
      <c r="D48" s="3" t="s">
        <v>31</v>
      </c>
      <c r="E48" s="3" t="s">
        <v>15</v>
      </c>
      <c r="F48" s="12">
        <v>35727</v>
      </c>
      <c r="G48" s="3">
        <v>88</v>
      </c>
      <c r="H48" s="3">
        <v>85</v>
      </c>
      <c r="I48" s="3">
        <v>173</v>
      </c>
      <c r="J48" s="3">
        <v>86.5</v>
      </c>
    </row>
    <row r="49" spans="2:10" x14ac:dyDescent="0.3">
      <c r="B49" s="3" t="s">
        <v>70</v>
      </c>
      <c r="C49" s="3" t="s">
        <v>27</v>
      </c>
      <c r="D49" s="3" t="s">
        <v>11</v>
      </c>
      <c r="E49" s="3" t="s">
        <v>12</v>
      </c>
      <c r="F49" s="12">
        <v>40883</v>
      </c>
      <c r="G49" s="3">
        <v>62</v>
      </c>
      <c r="H49" s="3">
        <v>95</v>
      </c>
      <c r="I49" s="3">
        <v>157</v>
      </c>
      <c r="J49" s="3">
        <v>78.5</v>
      </c>
    </row>
    <row r="50" spans="2:10" x14ac:dyDescent="0.3">
      <c r="B50" s="3" t="s">
        <v>71</v>
      </c>
      <c r="C50" s="3" t="s">
        <v>27</v>
      </c>
      <c r="D50" s="3" t="s">
        <v>11</v>
      </c>
      <c r="E50" s="3" t="s">
        <v>15</v>
      </c>
      <c r="F50" s="12">
        <v>41337</v>
      </c>
      <c r="G50" s="3">
        <v>95</v>
      </c>
      <c r="H50" s="3">
        <v>72</v>
      </c>
      <c r="I50" s="3">
        <v>167</v>
      </c>
      <c r="J50" s="3">
        <v>83.5</v>
      </c>
    </row>
    <row r="51" spans="2:10" x14ac:dyDescent="0.3">
      <c r="B51" s="3" t="s">
        <v>72</v>
      </c>
      <c r="C51" s="3" t="s">
        <v>17</v>
      </c>
      <c r="D51" s="3" t="s">
        <v>11</v>
      </c>
      <c r="E51" s="3" t="s">
        <v>12</v>
      </c>
      <c r="F51" s="12">
        <v>40683</v>
      </c>
      <c r="G51" s="3">
        <v>93</v>
      </c>
      <c r="H51" s="3">
        <v>69</v>
      </c>
      <c r="I51" s="3">
        <v>162</v>
      </c>
      <c r="J51" s="3">
        <v>81</v>
      </c>
    </row>
    <row r="52" spans="2:10" x14ac:dyDescent="0.3">
      <c r="B52" s="3" t="s">
        <v>73</v>
      </c>
      <c r="C52" s="3" t="s">
        <v>27</v>
      </c>
      <c r="D52" s="3" t="s">
        <v>31</v>
      </c>
      <c r="E52" s="3" t="s">
        <v>12</v>
      </c>
      <c r="F52" s="12">
        <v>36843</v>
      </c>
      <c r="G52" s="3">
        <v>79</v>
      </c>
      <c r="H52" s="3">
        <v>71</v>
      </c>
      <c r="I52" s="3">
        <v>150</v>
      </c>
      <c r="J52" s="3">
        <v>75</v>
      </c>
    </row>
    <row r="53" spans="2:10" x14ac:dyDescent="0.3">
      <c r="B53" s="3" t="s">
        <v>74</v>
      </c>
      <c r="C53" s="3" t="s">
        <v>17</v>
      </c>
      <c r="D53" s="3" t="s">
        <v>35</v>
      </c>
      <c r="E53" s="3" t="s">
        <v>12</v>
      </c>
      <c r="F53" s="12">
        <v>37285</v>
      </c>
      <c r="G53" s="3">
        <v>69</v>
      </c>
      <c r="H53" s="3">
        <v>88</v>
      </c>
      <c r="I53" s="3">
        <v>157</v>
      </c>
      <c r="J53" s="3">
        <v>78.5</v>
      </c>
    </row>
    <row r="54" spans="2:10" x14ac:dyDescent="0.3">
      <c r="B54" s="3" t="s">
        <v>75</v>
      </c>
      <c r="C54" s="3" t="s">
        <v>53</v>
      </c>
      <c r="D54" s="3" t="s">
        <v>11</v>
      </c>
      <c r="E54" s="3" t="s">
        <v>15</v>
      </c>
      <c r="F54" s="12">
        <v>42699</v>
      </c>
      <c r="G54" s="3">
        <v>95</v>
      </c>
      <c r="H54" s="3">
        <v>83</v>
      </c>
      <c r="I54" s="3">
        <v>178</v>
      </c>
      <c r="J54" s="3">
        <v>89</v>
      </c>
    </row>
    <row r="55" spans="2:10" x14ac:dyDescent="0.3">
      <c r="B55" s="3" t="s">
        <v>76</v>
      </c>
      <c r="C55" s="3" t="s">
        <v>27</v>
      </c>
      <c r="D55" s="3" t="s">
        <v>11</v>
      </c>
      <c r="E55" s="3" t="s">
        <v>15</v>
      </c>
      <c r="F55" s="12">
        <v>42667</v>
      </c>
      <c r="G55" s="3">
        <v>64</v>
      </c>
      <c r="H55" s="3">
        <v>87</v>
      </c>
      <c r="I55" s="3">
        <v>151</v>
      </c>
      <c r="J55" s="3">
        <v>75.5</v>
      </c>
    </row>
    <row r="56" spans="2:10" x14ac:dyDescent="0.3">
      <c r="B56" s="3" t="s">
        <v>77</v>
      </c>
      <c r="C56" s="3" t="s">
        <v>17</v>
      </c>
      <c r="D56" s="3" t="s">
        <v>23</v>
      </c>
      <c r="E56" s="3" t="s">
        <v>12</v>
      </c>
      <c r="F56" s="12">
        <v>39605</v>
      </c>
      <c r="G56" s="3">
        <v>93</v>
      </c>
      <c r="H56" s="3">
        <v>64</v>
      </c>
      <c r="I56" s="3">
        <v>157</v>
      </c>
      <c r="J56" s="3">
        <v>78.5</v>
      </c>
    </row>
    <row r="57" spans="2:10" x14ac:dyDescent="0.3">
      <c r="B57" s="3" t="s">
        <v>78</v>
      </c>
      <c r="C57" s="3" t="s">
        <v>29</v>
      </c>
      <c r="D57" s="3" t="s">
        <v>23</v>
      </c>
      <c r="E57" s="3" t="s">
        <v>12</v>
      </c>
      <c r="F57" s="12">
        <v>40240</v>
      </c>
      <c r="G57" s="3">
        <v>67</v>
      </c>
      <c r="H57" s="3">
        <v>73</v>
      </c>
      <c r="I57" s="3">
        <v>140</v>
      </c>
      <c r="J57" s="3">
        <v>70</v>
      </c>
    </row>
    <row r="58" spans="2:10" x14ac:dyDescent="0.3">
      <c r="B58" s="3" t="s">
        <v>79</v>
      </c>
      <c r="C58" s="3" t="s">
        <v>22</v>
      </c>
      <c r="D58" s="3" t="s">
        <v>23</v>
      </c>
      <c r="E58" s="3" t="s">
        <v>12</v>
      </c>
      <c r="F58" s="12">
        <v>39542</v>
      </c>
      <c r="G58" s="3">
        <v>73</v>
      </c>
      <c r="H58" s="3">
        <v>60</v>
      </c>
      <c r="I58" s="3">
        <v>133</v>
      </c>
      <c r="J58" s="3">
        <v>66.5</v>
      </c>
    </row>
    <row r="59" spans="2:10" x14ac:dyDescent="0.3">
      <c r="B59" s="3" t="s">
        <v>80</v>
      </c>
      <c r="C59" s="3" t="s">
        <v>53</v>
      </c>
      <c r="D59" s="3" t="s">
        <v>23</v>
      </c>
      <c r="E59" s="3" t="s">
        <v>12</v>
      </c>
      <c r="F59" s="12">
        <v>40765</v>
      </c>
      <c r="G59" s="3">
        <v>60</v>
      </c>
      <c r="H59" s="3">
        <v>75</v>
      </c>
      <c r="I59" s="3">
        <v>135</v>
      </c>
      <c r="J59" s="3">
        <v>67.5</v>
      </c>
    </row>
    <row r="60" spans="2:10" x14ac:dyDescent="0.3">
      <c r="B60" s="3" t="s">
        <v>81</v>
      </c>
      <c r="C60" s="3" t="s">
        <v>10</v>
      </c>
      <c r="D60" s="3" t="s">
        <v>23</v>
      </c>
      <c r="E60" s="3" t="s">
        <v>12</v>
      </c>
      <c r="F60" s="12">
        <v>38912</v>
      </c>
      <c r="G60" s="3">
        <v>85</v>
      </c>
      <c r="H60" s="3">
        <v>94</v>
      </c>
      <c r="I60" s="3">
        <v>179</v>
      </c>
      <c r="J60" s="3">
        <v>89.5</v>
      </c>
    </row>
    <row r="61" spans="2:10" x14ac:dyDescent="0.3">
      <c r="B61" s="3" t="s">
        <v>82</v>
      </c>
      <c r="C61" s="3" t="s">
        <v>17</v>
      </c>
      <c r="D61" s="3" t="s">
        <v>31</v>
      </c>
      <c r="E61" s="3" t="s">
        <v>12</v>
      </c>
      <c r="F61" s="12">
        <v>37152</v>
      </c>
      <c r="G61" s="3">
        <v>97</v>
      </c>
      <c r="H61" s="3">
        <v>83</v>
      </c>
      <c r="I61" s="3">
        <v>180</v>
      </c>
      <c r="J61" s="3">
        <v>90</v>
      </c>
    </row>
    <row r="62" spans="2:10" x14ac:dyDescent="0.3">
      <c r="B62" s="3" t="s">
        <v>83</v>
      </c>
      <c r="C62" s="3" t="s">
        <v>25</v>
      </c>
      <c r="D62" s="3" t="s">
        <v>23</v>
      </c>
      <c r="E62" s="3" t="s">
        <v>12</v>
      </c>
      <c r="F62" s="12">
        <v>39779</v>
      </c>
      <c r="G62" s="3">
        <v>91</v>
      </c>
      <c r="H62" s="3">
        <v>84</v>
      </c>
      <c r="I62" s="3">
        <v>175</v>
      </c>
      <c r="J62" s="3">
        <v>87.5</v>
      </c>
    </row>
    <row r="63" spans="2:10" x14ac:dyDescent="0.3">
      <c r="B63" s="3" t="s">
        <v>84</v>
      </c>
      <c r="C63" s="3" t="s">
        <v>25</v>
      </c>
      <c r="D63" s="3" t="s">
        <v>23</v>
      </c>
      <c r="E63" s="3" t="s">
        <v>12</v>
      </c>
      <c r="F63" s="12">
        <v>40200</v>
      </c>
      <c r="G63" s="3">
        <v>75</v>
      </c>
      <c r="H63" s="3">
        <v>75</v>
      </c>
      <c r="I63" s="3">
        <v>150</v>
      </c>
      <c r="J63" s="3">
        <v>75</v>
      </c>
    </row>
    <row r="64" spans="2:10" x14ac:dyDescent="0.3">
      <c r="B64" s="3" t="s">
        <v>85</v>
      </c>
      <c r="C64" s="3" t="s">
        <v>25</v>
      </c>
      <c r="D64" s="3" t="s">
        <v>23</v>
      </c>
      <c r="E64" s="3" t="s">
        <v>12</v>
      </c>
      <c r="F64" s="12">
        <v>41030</v>
      </c>
      <c r="G64" s="3">
        <v>80</v>
      </c>
      <c r="H64" s="3">
        <v>79</v>
      </c>
      <c r="I64" s="3">
        <v>159</v>
      </c>
      <c r="J64" s="3">
        <v>79.5</v>
      </c>
    </row>
    <row r="65" spans="2:10" x14ac:dyDescent="0.3">
      <c r="B65" s="3" t="s">
        <v>86</v>
      </c>
      <c r="C65" s="3" t="s">
        <v>53</v>
      </c>
      <c r="D65" s="3" t="s">
        <v>31</v>
      </c>
      <c r="E65" s="3" t="s">
        <v>15</v>
      </c>
      <c r="F65" s="12">
        <v>36255</v>
      </c>
      <c r="G65" s="3">
        <v>87</v>
      </c>
      <c r="H65" s="3">
        <v>97</v>
      </c>
      <c r="I65" s="3">
        <v>184</v>
      </c>
      <c r="J65" s="3">
        <v>92</v>
      </c>
    </row>
    <row r="66" spans="2:10" x14ac:dyDescent="0.3">
      <c r="B66" s="3" t="s">
        <v>87</v>
      </c>
      <c r="C66" s="3" t="s">
        <v>68</v>
      </c>
      <c r="D66" s="3" t="s">
        <v>20</v>
      </c>
      <c r="E66" s="3" t="s">
        <v>12</v>
      </c>
      <c r="F66" s="12">
        <v>36419</v>
      </c>
      <c r="G66" s="3">
        <v>61</v>
      </c>
      <c r="H66" s="3">
        <v>71</v>
      </c>
      <c r="I66" s="3">
        <v>132</v>
      </c>
      <c r="J66" s="3">
        <v>66</v>
      </c>
    </row>
    <row r="67" spans="2:10" x14ac:dyDescent="0.3">
      <c r="B67" s="3" t="s">
        <v>88</v>
      </c>
      <c r="C67" s="3" t="s">
        <v>27</v>
      </c>
      <c r="D67" s="3" t="s">
        <v>35</v>
      </c>
      <c r="E67" s="3" t="s">
        <v>12</v>
      </c>
      <c r="F67" s="12">
        <v>38847</v>
      </c>
      <c r="G67" s="3">
        <v>99</v>
      </c>
      <c r="H67" s="3">
        <v>75</v>
      </c>
      <c r="I67" s="3">
        <v>174</v>
      </c>
      <c r="J67" s="3">
        <v>87</v>
      </c>
    </row>
    <row r="68" spans="2:10" x14ac:dyDescent="0.3">
      <c r="B68" s="3" t="s">
        <v>89</v>
      </c>
      <c r="C68" s="3" t="s">
        <v>53</v>
      </c>
      <c r="D68" s="3" t="s">
        <v>35</v>
      </c>
      <c r="E68" s="3" t="s">
        <v>15</v>
      </c>
      <c r="F68" s="12">
        <v>38987</v>
      </c>
      <c r="G68" s="3">
        <v>75</v>
      </c>
      <c r="H68" s="3">
        <v>61</v>
      </c>
      <c r="I68" s="3">
        <v>136</v>
      </c>
      <c r="J68" s="3">
        <v>68</v>
      </c>
    </row>
    <row r="69" spans="2:10" x14ac:dyDescent="0.3">
      <c r="B69" s="3" t="s">
        <v>90</v>
      </c>
      <c r="C69" s="3" t="s">
        <v>29</v>
      </c>
      <c r="D69" s="3" t="s">
        <v>11</v>
      </c>
      <c r="E69" s="3" t="s">
        <v>15</v>
      </c>
      <c r="F69" s="12">
        <v>41157</v>
      </c>
      <c r="G69" s="3">
        <v>77</v>
      </c>
      <c r="H69" s="3">
        <v>63</v>
      </c>
      <c r="I69" s="3">
        <v>140</v>
      </c>
      <c r="J69" s="3">
        <v>70</v>
      </c>
    </row>
    <row r="70" spans="2:10" x14ac:dyDescent="0.3">
      <c r="B70" s="3" t="s">
        <v>91</v>
      </c>
      <c r="C70" s="3" t="s">
        <v>29</v>
      </c>
      <c r="D70" s="3" t="s">
        <v>35</v>
      </c>
      <c r="E70" s="3" t="s">
        <v>12</v>
      </c>
      <c r="F70" s="12">
        <v>38828</v>
      </c>
      <c r="G70" s="3">
        <v>60</v>
      </c>
      <c r="H70" s="3">
        <v>86</v>
      </c>
      <c r="I70" s="3">
        <v>146</v>
      </c>
      <c r="J70" s="3">
        <v>73</v>
      </c>
    </row>
    <row r="71" spans="2:10" x14ac:dyDescent="0.3">
      <c r="B71" s="3" t="s">
        <v>92</v>
      </c>
      <c r="C71" s="3" t="s">
        <v>22</v>
      </c>
      <c r="D71" s="3" t="s">
        <v>20</v>
      </c>
      <c r="E71" s="3" t="s">
        <v>12</v>
      </c>
      <c r="F71" s="12">
        <v>36441</v>
      </c>
      <c r="G71" s="3">
        <v>97</v>
      </c>
      <c r="H71" s="3">
        <v>94</v>
      </c>
      <c r="I71" s="3">
        <v>191</v>
      </c>
      <c r="J71" s="3">
        <v>95.5</v>
      </c>
    </row>
    <row r="72" spans="2:10" x14ac:dyDescent="0.3">
      <c r="B72" s="3" t="s">
        <v>93</v>
      </c>
      <c r="C72" s="3" t="s">
        <v>25</v>
      </c>
      <c r="D72" s="3" t="s">
        <v>20</v>
      </c>
      <c r="E72" s="3" t="s">
        <v>12</v>
      </c>
      <c r="F72" s="12">
        <v>35908</v>
      </c>
      <c r="G72" s="3">
        <v>75</v>
      </c>
      <c r="H72" s="3">
        <v>90</v>
      </c>
      <c r="I72" s="3">
        <v>165</v>
      </c>
      <c r="J72" s="3">
        <v>82.5</v>
      </c>
    </row>
    <row r="73" spans="2:10" x14ac:dyDescent="0.3">
      <c r="B73" s="3" t="s">
        <v>94</v>
      </c>
      <c r="C73" s="3" t="s">
        <v>68</v>
      </c>
      <c r="D73" s="3" t="s">
        <v>11</v>
      </c>
      <c r="E73" s="3" t="s">
        <v>12</v>
      </c>
      <c r="F73" s="12">
        <v>41765</v>
      </c>
      <c r="G73" s="3">
        <v>81</v>
      </c>
      <c r="H73" s="3">
        <v>65</v>
      </c>
      <c r="I73" s="3">
        <v>146</v>
      </c>
      <c r="J73" s="3">
        <v>73</v>
      </c>
    </row>
    <row r="74" spans="2:10" x14ac:dyDescent="0.3">
      <c r="B74" s="3" t="s">
        <v>95</v>
      </c>
      <c r="C74" s="3" t="s">
        <v>10</v>
      </c>
      <c r="D74" s="3" t="s">
        <v>23</v>
      </c>
      <c r="E74" s="3" t="s">
        <v>12</v>
      </c>
      <c r="F74" s="12">
        <v>38889</v>
      </c>
      <c r="G74" s="3">
        <v>62</v>
      </c>
      <c r="H74" s="3">
        <v>70</v>
      </c>
      <c r="I74" s="3">
        <v>132</v>
      </c>
      <c r="J74" s="3">
        <v>66</v>
      </c>
    </row>
    <row r="75" spans="2:10" x14ac:dyDescent="0.3">
      <c r="B75" s="3" t="s">
        <v>96</v>
      </c>
      <c r="C75" s="3" t="s">
        <v>25</v>
      </c>
      <c r="D75" s="3" t="s">
        <v>11</v>
      </c>
      <c r="E75" s="3" t="s">
        <v>12</v>
      </c>
      <c r="F75" s="12">
        <v>41873</v>
      </c>
      <c r="G75" s="3">
        <v>76</v>
      </c>
      <c r="H75" s="3">
        <v>89</v>
      </c>
      <c r="I75" s="3">
        <v>165</v>
      </c>
      <c r="J75" s="3">
        <v>82.5</v>
      </c>
    </row>
    <row r="76" spans="2:10" x14ac:dyDescent="0.3">
      <c r="B76" s="3" t="s">
        <v>97</v>
      </c>
      <c r="C76" s="3" t="s">
        <v>22</v>
      </c>
      <c r="D76" s="3" t="s">
        <v>23</v>
      </c>
      <c r="E76" s="3" t="s">
        <v>12</v>
      </c>
      <c r="F76" s="12">
        <v>40102</v>
      </c>
      <c r="G76" s="3">
        <v>62</v>
      </c>
      <c r="H76" s="3">
        <v>67</v>
      </c>
      <c r="I76" s="3">
        <v>129</v>
      </c>
      <c r="J76" s="3">
        <v>64.5</v>
      </c>
    </row>
    <row r="77" spans="2:10" x14ac:dyDescent="0.3">
      <c r="B77" s="3" t="s">
        <v>98</v>
      </c>
      <c r="C77" s="3" t="s">
        <v>22</v>
      </c>
      <c r="D77" s="3" t="s">
        <v>11</v>
      </c>
      <c r="E77" s="3" t="s">
        <v>12</v>
      </c>
      <c r="F77" s="12">
        <v>41914</v>
      </c>
      <c r="G77" s="3">
        <v>99</v>
      </c>
      <c r="H77" s="3">
        <v>90</v>
      </c>
      <c r="I77" s="3">
        <v>189</v>
      </c>
      <c r="J77" s="3">
        <v>94.5</v>
      </c>
    </row>
    <row r="78" spans="2:10" x14ac:dyDescent="0.3">
      <c r="B78" s="3" t="s">
        <v>99</v>
      </c>
      <c r="C78" s="3" t="s">
        <v>68</v>
      </c>
      <c r="D78" s="3" t="s">
        <v>35</v>
      </c>
      <c r="E78" s="3" t="s">
        <v>12</v>
      </c>
      <c r="F78" s="12">
        <v>37237</v>
      </c>
      <c r="G78" s="3">
        <v>60</v>
      </c>
      <c r="H78" s="3">
        <v>94</v>
      </c>
      <c r="I78" s="3">
        <v>154</v>
      </c>
      <c r="J78" s="3">
        <v>77</v>
      </c>
    </row>
    <row r="79" spans="2:10" x14ac:dyDescent="0.3">
      <c r="B79" s="3" t="s">
        <v>100</v>
      </c>
      <c r="C79" s="3" t="s">
        <v>25</v>
      </c>
      <c r="D79" s="3" t="s">
        <v>11</v>
      </c>
      <c r="E79" s="3" t="s">
        <v>12</v>
      </c>
      <c r="F79" s="12">
        <v>42951</v>
      </c>
      <c r="G79" s="3">
        <v>97</v>
      </c>
      <c r="H79" s="3">
        <v>88</v>
      </c>
      <c r="I79" s="3">
        <v>185</v>
      </c>
      <c r="J79" s="3">
        <v>92.5</v>
      </c>
    </row>
    <row r="80" spans="2:10" x14ac:dyDescent="0.3">
      <c r="B80" s="3" t="s">
        <v>101</v>
      </c>
      <c r="C80" s="3" t="s">
        <v>29</v>
      </c>
      <c r="D80" s="3" t="s">
        <v>11</v>
      </c>
      <c r="E80" s="3" t="s">
        <v>15</v>
      </c>
      <c r="F80" s="12">
        <v>42352</v>
      </c>
      <c r="G80" s="3">
        <v>96</v>
      </c>
      <c r="H80" s="3">
        <v>97</v>
      </c>
      <c r="I80" s="3">
        <v>193</v>
      </c>
      <c r="J80" s="3">
        <v>96.5</v>
      </c>
    </row>
    <row r="81" spans="2:10" x14ac:dyDescent="0.3">
      <c r="B81" s="3" t="s">
        <v>98</v>
      </c>
      <c r="C81" s="3" t="s">
        <v>22</v>
      </c>
      <c r="D81" s="3" t="s">
        <v>11</v>
      </c>
      <c r="E81" s="3" t="s">
        <v>12</v>
      </c>
      <c r="F81" s="12">
        <v>41914</v>
      </c>
      <c r="G81" s="3">
        <v>99</v>
      </c>
      <c r="H81" s="3">
        <v>90</v>
      </c>
      <c r="I81" s="3">
        <v>189</v>
      </c>
      <c r="J81" s="3">
        <v>94.5</v>
      </c>
    </row>
    <row r="82" spans="2:10" x14ac:dyDescent="0.3">
      <c r="B82" s="3" t="s">
        <v>99</v>
      </c>
      <c r="C82" s="3" t="s">
        <v>68</v>
      </c>
      <c r="D82" s="3" t="s">
        <v>35</v>
      </c>
      <c r="E82" s="3" t="s">
        <v>12</v>
      </c>
      <c r="F82" s="12">
        <v>37237</v>
      </c>
      <c r="G82" s="3">
        <v>60</v>
      </c>
      <c r="H82" s="3">
        <v>94</v>
      </c>
      <c r="I82" s="3">
        <v>154</v>
      </c>
      <c r="J82" s="3">
        <v>77</v>
      </c>
    </row>
    <row r="83" spans="2:10" x14ac:dyDescent="0.3">
      <c r="B83" s="3" t="s">
        <v>100</v>
      </c>
      <c r="C83" s="3" t="s">
        <v>25</v>
      </c>
      <c r="D83" s="3" t="s">
        <v>11</v>
      </c>
      <c r="E83" s="3" t="s">
        <v>12</v>
      </c>
      <c r="F83" s="12">
        <v>42951</v>
      </c>
      <c r="G83" s="3">
        <v>72</v>
      </c>
      <c r="H83" s="3">
        <v>88</v>
      </c>
      <c r="I83" s="3">
        <v>160</v>
      </c>
      <c r="J83" s="3">
        <v>80</v>
      </c>
    </row>
    <row r="84" spans="2:10" x14ac:dyDescent="0.3">
      <c r="B84" s="4" t="s">
        <v>101</v>
      </c>
      <c r="C84" s="4" t="s">
        <v>29</v>
      </c>
      <c r="D84" s="4" t="s">
        <v>11</v>
      </c>
      <c r="E84" s="4" t="s">
        <v>15</v>
      </c>
      <c r="F84" s="13">
        <v>42352</v>
      </c>
      <c r="G84" s="4">
        <v>80</v>
      </c>
      <c r="H84" s="4">
        <v>97</v>
      </c>
      <c r="I84" s="4">
        <v>177</v>
      </c>
      <c r="J84" s="4">
        <v>88.5</v>
      </c>
    </row>
  </sheetData>
  <phoneticPr fontId="2" type="noConversion"/>
  <dataValidations count="1">
    <dataValidation type="list" allowBlank="1" showInputMessage="1" showErrorMessage="1" sqref="M2" xr:uid="{916BAE32-863E-4581-A1DD-765BB72EA870}">
      <formula1>소속명</formula1>
    </dataValidation>
  </dataValidations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FFB578-3EA3-42A8-858F-21021754AE3A}">
  <sheetPr codeName="Sheet7">
    <tabColor theme="9" tint="-0.249977111117893"/>
  </sheetPr>
  <dimension ref="A1:T84"/>
  <sheetViews>
    <sheetView zoomScaleNormal="100" workbookViewId="0">
      <selection activeCell="B2" sqref="B2:J2"/>
    </sheetView>
  </sheetViews>
  <sheetFormatPr defaultRowHeight="16.5" x14ac:dyDescent="0.3"/>
  <cols>
    <col min="1" max="1" width="1.375" customWidth="1"/>
    <col min="3" max="3" width="11" bestFit="1" customWidth="1"/>
    <col min="4" max="5" width="5.5" bestFit="1" customWidth="1"/>
    <col min="6" max="6" width="11.125" bestFit="1" customWidth="1"/>
    <col min="7" max="7" width="6.875" bestFit="1" customWidth="1"/>
    <col min="8" max="8" width="6.75" bestFit="1" customWidth="1"/>
    <col min="9" max="10" width="5.5" bestFit="1" customWidth="1"/>
    <col min="11" max="11" width="2.5" customWidth="1"/>
    <col min="12" max="12" width="9.75" style="1" customWidth="1"/>
    <col min="13" max="13" width="11.75" style="1" customWidth="1"/>
    <col min="14" max="15" width="9" style="1"/>
    <col min="16" max="16" width="11.125" style="1" bestFit="1" customWidth="1"/>
    <col min="17" max="16384" width="9" style="1"/>
  </cols>
  <sheetData>
    <row r="1" spans="2:20" customFormat="1" ht="13.5" customHeight="1" thickBot="1" x14ac:dyDescent="0.35">
      <c r="M1" s="20" t="s">
        <v>114</v>
      </c>
    </row>
    <row r="2" spans="2:20" customFormat="1" ht="43.5" customHeight="1" thickTop="1" thickBot="1" x14ac:dyDescent="0.35">
      <c r="B2" s="80" t="s">
        <v>102</v>
      </c>
      <c r="C2" s="81"/>
      <c r="D2" s="81"/>
      <c r="E2" s="81"/>
      <c r="F2" s="81"/>
      <c r="G2" s="81"/>
      <c r="H2" s="81"/>
      <c r="I2" s="81"/>
      <c r="J2" s="81"/>
      <c r="L2" s="6" t="s">
        <v>1</v>
      </c>
      <c r="M2" s="11" t="s">
        <v>25</v>
      </c>
    </row>
    <row r="3" spans="2:20" customFormat="1" ht="6.75" customHeight="1" thickTop="1" x14ac:dyDescent="0.3">
      <c r="L3" s="1"/>
    </row>
    <row r="4" spans="2:20" customFormat="1" x14ac:dyDescent="0.3">
      <c r="B4" s="5" t="s">
        <v>0</v>
      </c>
      <c r="C4" s="6" t="s">
        <v>1</v>
      </c>
      <c r="D4" s="6" t="s">
        <v>2</v>
      </c>
      <c r="E4" s="6" t="s">
        <v>3</v>
      </c>
      <c r="F4" s="6" t="s">
        <v>4</v>
      </c>
      <c r="G4" s="6" t="s">
        <v>5</v>
      </c>
      <c r="H4" s="6" t="s">
        <v>6</v>
      </c>
      <c r="I4" s="6" t="s">
        <v>7</v>
      </c>
      <c r="J4" s="7" t="s">
        <v>8</v>
      </c>
      <c r="L4" s="5" t="s">
        <v>0</v>
      </c>
      <c r="M4" s="6" t="s">
        <v>1</v>
      </c>
      <c r="N4" s="6" t="s">
        <v>5</v>
      </c>
      <c r="O4" s="6" t="s">
        <v>6</v>
      </c>
      <c r="P4" s="6" t="s">
        <v>7</v>
      </c>
      <c r="Q4" s="7" t="s">
        <v>8</v>
      </c>
    </row>
    <row r="5" spans="2:20" x14ac:dyDescent="0.3">
      <c r="B5" s="3" t="s">
        <v>9</v>
      </c>
      <c r="C5" s="3" t="s">
        <v>10</v>
      </c>
      <c r="D5" s="3" t="s">
        <v>11</v>
      </c>
      <c r="E5" s="3" t="s">
        <v>12</v>
      </c>
      <c r="F5" s="12">
        <v>42830</v>
      </c>
      <c r="G5" s="3">
        <v>97</v>
      </c>
      <c r="H5" s="3">
        <v>70</v>
      </c>
      <c r="I5" s="3">
        <v>167</v>
      </c>
      <c r="J5" s="3">
        <v>83.5</v>
      </c>
      <c r="L5" s="3" t="s">
        <v>24</v>
      </c>
      <c r="M5" s="3" t="s">
        <v>25</v>
      </c>
      <c r="N5" s="3">
        <v>82</v>
      </c>
      <c r="O5" s="3">
        <v>70</v>
      </c>
      <c r="P5" s="3">
        <v>152</v>
      </c>
      <c r="Q5" s="3">
        <v>76</v>
      </c>
    </row>
    <row r="6" spans="2:20" x14ac:dyDescent="0.3">
      <c r="B6" s="3" t="s">
        <v>13</v>
      </c>
      <c r="C6" s="3" t="s">
        <v>14</v>
      </c>
      <c r="D6" s="3" t="s">
        <v>11</v>
      </c>
      <c r="E6" s="3" t="s">
        <v>15</v>
      </c>
      <c r="F6" s="12">
        <v>40563</v>
      </c>
      <c r="G6" s="3">
        <v>93</v>
      </c>
      <c r="H6" s="3">
        <v>79</v>
      </c>
      <c r="I6" s="3">
        <v>172</v>
      </c>
      <c r="J6" s="3">
        <v>86</v>
      </c>
      <c r="L6" s="3" t="s">
        <v>30</v>
      </c>
      <c r="M6" s="3" t="s">
        <v>25</v>
      </c>
      <c r="N6" s="3">
        <v>78</v>
      </c>
      <c r="O6" s="3">
        <v>84</v>
      </c>
      <c r="P6" s="3">
        <v>162</v>
      </c>
      <c r="Q6" s="3">
        <v>81</v>
      </c>
    </row>
    <row r="7" spans="2:20" x14ac:dyDescent="0.3">
      <c r="B7" s="3" t="s">
        <v>16</v>
      </c>
      <c r="C7" s="3" t="s">
        <v>17</v>
      </c>
      <c r="D7" s="3" t="s">
        <v>11</v>
      </c>
      <c r="E7" s="3" t="s">
        <v>12</v>
      </c>
      <c r="F7" s="12">
        <v>40809</v>
      </c>
      <c r="G7" s="3">
        <v>63</v>
      </c>
      <c r="H7" s="3">
        <v>75</v>
      </c>
      <c r="I7" s="3">
        <v>138</v>
      </c>
      <c r="J7" s="3">
        <v>69</v>
      </c>
      <c r="L7" s="3" t="s">
        <v>32</v>
      </c>
      <c r="M7" s="3" t="s">
        <v>25</v>
      </c>
      <c r="N7" s="3">
        <v>71</v>
      </c>
      <c r="O7" s="3">
        <v>92</v>
      </c>
      <c r="P7" s="3">
        <v>163</v>
      </c>
      <c r="Q7" s="3">
        <v>81.5</v>
      </c>
    </row>
    <row r="8" spans="2:20" x14ac:dyDescent="0.3">
      <c r="B8" s="3" t="s">
        <v>18</v>
      </c>
      <c r="C8" s="3" t="s">
        <v>14</v>
      </c>
      <c r="D8" s="3" t="s">
        <v>11</v>
      </c>
      <c r="E8" s="3" t="s">
        <v>15</v>
      </c>
      <c r="F8" s="12">
        <v>42269</v>
      </c>
      <c r="G8" s="3">
        <v>89</v>
      </c>
      <c r="H8" s="3">
        <v>82</v>
      </c>
      <c r="I8" s="3">
        <v>171</v>
      </c>
      <c r="J8" s="3">
        <v>85.5</v>
      </c>
      <c r="L8" s="3" t="s">
        <v>34</v>
      </c>
      <c r="M8" s="3" t="s">
        <v>25</v>
      </c>
      <c r="N8" s="3">
        <v>78</v>
      </c>
      <c r="O8" s="3">
        <v>97</v>
      </c>
      <c r="P8" s="3">
        <v>175</v>
      </c>
      <c r="Q8" s="3">
        <v>87.5</v>
      </c>
    </row>
    <row r="9" spans="2:20" x14ac:dyDescent="0.3">
      <c r="B9" s="3" t="s">
        <v>19</v>
      </c>
      <c r="C9" s="3" t="s">
        <v>14</v>
      </c>
      <c r="D9" s="3" t="s">
        <v>20</v>
      </c>
      <c r="E9" s="3" t="s">
        <v>12</v>
      </c>
      <c r="F9" s="12">
        <v>35622</v>
      </c>
      <c r="G9" s="3">
        <v>93</v>
      </c>
      <c r="H9" s="3">
        <v>84</v>
      </c>
      <c r="I9" s="3">
        <v>177</v>
      </c>
      <c r="J9" s="3">
        <v>88.5</v>
      </c>
      <c r="L9" s="3" t="s">
        <v>39</v>
      </c>
      <c r="M9" s="3" t="s">
        <v>25</v>
      </c>
      <c r="N9" s="3">
        <v>89</v>
      </c>
      <c r="O9" s="3">
        <v>65</v>
      </c>
      <c r="P9" s="3">
        <v>154</v>
      </c>
      <c r="Q9" s="3">
        <v>77</v>
      </c>
      <c r="R9" s="55"/>
      <c r="S9" s="55"/>
      <c r="T9" s="55"/>
    </row>
    <row r="10" spans="2:20" x14ac:dyDescent="0.3">
      <c r="B10" s="3" t="s">
        <v>21</v>
      </c>
      <c r="C10" s="3" t="s">
        <v>22</v>
      </c>
      <c r="D10" s="3" t="s">
        <v>23</v>
      </c>
      <c r="E10" s="3" t="s">
        <v>12</v>
      </c>
      <c r="F10" s="12">
        <v>39708</v>
      </c>
      <c r="G10" s="3">
        <v>77</v>
      </c>
      <c r="H10" s="3">
        <v>70</v>
      </c>
      <c r="I10" s="3">
        <v>147</v>
      </c>
      <c r="J10" s="3">
        <v>73.5</v>
      </c>
      <c r="L10" s="3" t="s">
        <v>59</v>
      </c>
      <c r="M10" s="3" t="s">
        <v>25</v>
      </c>
      <c r="N10" s="3">
        <v>91</v>
      </c>
      <c r="O10" s="3">
        <v>77</v>
      </c>
      <c r="P10" s="3">
        <v>168</v>
      </c>
      <c r="Q10" s="3">
        <v>84</v>
      </c>
      <c r="R10" s="55"/>
      <c r="S10" s="55"/>
      <c r="T10" s="55"/>
    </row>
    <row r="11" spans="2:20" x14ac:dyDescent="0.3">
      <c r="B11" s="3" t="s">
        <v>24</v>
      </c>
      <c r="C11" s="3" t="s">
        <v>25</v>
      </c>
      <c r="D11" s="3" t="s">
        <v>11</v>
      </c>
      <c r="E11" s="3" t="s">
        <v>12</v>
      </c>
      <c r="F11" s="12">
        <v>42332</v>
      </c>
      <c r="G11" s="3">
        <v>82</v>
      </c>
      <c r="H11" s="3">
        <v>70</v>
      </c>
      <c r="I11" s="3">
        <v>152</v>
      </c>
      <c r="J11" s="3">
        <v>76</v>
      </c>
      <c r="L11" s="3" t="s">
        <v>83</v>
      </c>
      <c r="M11" s="3" t="s">
        <v>25</v>
      </c>
      <c r="N11" s="3">
        <v>91</v>
      </c>
      <c r="O11" s="3">
        <v>84</v>
      </c>
      <c r="P11" s="3">
        <v>175</v>
      </c>
      <c r="Q11" s="3">
        <v>87.5</v>
      </c>
      <c r="R11" s="55"/>
      <c r="S11" s="55"/>
      <c r="T11" s="55"/>
    </row>
    <row r="12" spans="2:20" x14ac:dyDescent="0.3">
      <c r="B12" s="3" t="s">
        <v>26</v>
      </c>
      <c r="C12" s="3" t="s">
        <v>27</v>
      </c>
      <c r="D12" s="3" t="s">
        <v>11</v>
      </c>
      <c r="E12" s="3" t="s">
        <v>15</v>
      </c>
      <c r="F12" s="12">
        <v>42009</v>
      </c>
      <c r="G12" s="3">
        <v>87</v>
      </c>
      <c r="H12" s="3">
        <v>65</v>
      </c>
      <c r="I12" s="3">
        <v>152</v>
      </c>
      <c r="J12" s="3">
        <v>76</v>
      </c>
      <c r="L12" s="3" t="s">
        <v>84</v>
      </c>
      <c r="M12" s="3" t="s">
        <v>25</v>
      </c>
      <c r="N12" s="3">
        <v>75</v>
      </c>
      <c r="O12" s="3">
        <v>75</v>
      </c>
      <c r="P12" s="3">
        <v>150</v>
      </c>
      <c r="Q12" s="3">
        <v>75</v>
      </c>
      <c r="R12" s="55"/>
      <c r="S12" s="55"/>
      <c r="T12" s="55"/>
    </row>
    <row r="13" spans="2:20" x14ac:dyDescent="0.3">
      <c r="B13" s="3" t="s">
        <v>28</v>
      </c>
      <c r="C13" s="3" t="s">
        <v>29</v>
      </c>
      <c r="D13" s="3" t="s">
        <v>20</v>
      </c>
      <c r="E13" s="3" t="s">
        <v>12</v>
      </c>
      <c r="F13" s="12">
        <v>35270</v>
      </c>
      <c r="G13" s="3">
        <v>100</v>
      </c>
      <c r="H13" s="3">
        <v>79</v>
      </c>
      <c r="I13" s="3">
        <v>179</v>
      </c>
      <c r="J13" s="3">
        <v>89.5</v>
      </c>
      <c r="L13" s="3" t="s">
        <v>85</v>
      </c>
      <c r="M13" s="3" t="s">
        <v>25</v>
      </c>
      <c r="N13" s="3">
        <v>80</v>
      </c>
      <c r="O13" s="3">
        <v>79</v>
      </c>
      <c r="P13" s="3">
        <v>159</v>
      </c>
      <c r="Q13" s="3">
        <v>79.5</v>
      </c>
      <c r="R13" s="55"/>
      <c r="S13" s="55"/>
      <c r="T13" s="55"/>
    </row>
    <row r="14" spans="2:20" x14ac:dyDescent="0.3">
      <c r="B14" s="3" t="s">
        <v>30</v>
      </c>
      <c r="C14" s="3" t="s">
        <v>25</v>
      </c>
      <c r="D14" s="3" t="s">
        <v>31</v>
      </c>
      <c r="E14" s="3" t="s">
        <v>15</v>
      </c>
      <c r="F14" s="12">
        <v>37421</v>
      </c>
      <c r="G14" s="3">
        <v>78</v>
      </c>
      <c r="H14" s="3">
        <v>84</v>
      </c>
      <c r="I14" s="3">
        <v>162</v>
      </c>
      <c r="J14" s="3">
        <v>81</v>
      </c>
      <c r="L14" s="3" t="s">
        <v>93</v>
      </c>
      <c r="M14" s="3" t="s">
        <v>25</v>
      </c>
      <c r="N14" s="3">
        <v>75</v>
      </c>
      <c r="O14" s="3">
        <v>90</v>
      </c>
      <c r="P14" s="3">
        <v>165</v>
      </c>
      <c r="Q14" s="3">
        <v>82.5</v>
      </c>
      <c r="R14" s="55"/>
      <c r="S14" s="55"/>
      <c r="T14" s="55"/>
    </row>
    <row r="15" spans="2:20" x14ac:dyDescent="0.3">
      <c r="B15" s="3" t="s">
        <v>32</v>
      </c>
      <c r="C15" s="3" t="s">
        <v>25</v>
      </c>
      <c r="D15" s="3" t="s">
        <v>11</v>
      </c>
      <c r="E15" s="3" t="s">
        <v>15</v>
      </c>
      <c r="F15" s="12">
        <v>40703</v>
      </c>
      <c r="G15" s="3">
        <v>71</v>
      </c>
      <c r="H15" s="3">
        <v>92</v>
      </c>
      <c r="I15" s="3">
        <v>163</v>
      </c>
      <c r="J15" s="3">
        <v>81.5</v>
      </c>
      <c r="L15" s="3" t="s">
        <v>96</v>
      </c>
      <c r="M15" s="3" t="s">
        <v>25</v>
      </c>
      <c r="N15" s="3">
        <v>76</v>
      </c>
      <c r="O15" s="3">
        <v>89</v>
      </c>
      <c r="P15" s="3">
        <v>165</v>
      </c>
      <c r="Q15" s="3">
        <v>82.5</v>
      </c>
      <c r="R15" s="55"/>
      <c r="S15" s="55"/>
      <c r="T15" s="55"/>
    </row>
    <row r="16" spans="2:20" x14ac:dyDescent="0.3">
      <c r="B16" s="3" t="s">
        <v>33</v>
      </c>
      <c r="C16" s="3" t="s">
        <v>10</v>
      </c>
      <c r="D16" s="3" t="s">
        <v>20</v>
      </c>
      <c r="E16" s="3" t="s">
        <v>15</v>
      </c>
      <c r="F16" s="12">
        <v>35786</v>
      </c>
      <c r="G16" s="3">
        <v>66</v>
      </c>
      <c r="H16" s="3">
        <v>91</v>
      </c>
      <c r="I16" s="3">
        <v>157</v>
      </c>
      <c r="J16" s="3">
        <v>78.5</v>
      </c>
      <c r="L16" s="3" t="s">
        <v>100</v>
      </c>
      <c r="M16" s="3" t="s">
        <v>25</v>
      </c>
      <c r="N16" s="3">
        <v>97</v>
      </c>
      <c r="O16" s="3">
        <v>88</v>
      </c>
      <c r="P16" s="3">
        <v>185</v>
      </c>
      <c r="Q16" s="3">
        <v>92.5</v>
      </c>
    </row>
    <row r="17" spans="2:17" x14ac:dyDescent="0.3">
      <c r="B17" s="3" t="s">
        <v>34</v>
      </c>
      <c r="C17" s="3" t="s">
        <v>25</v>
      </c>
      <c r="D17" s="3" t="s">
        <v>35</v>
      </c>
      <c r="E17" s="3" t="s">
        <v>12</v>
      </c>
      <c r="F17" s="12">
        <v>37421</v>
      </c>
      <c r="G17" s="3">
        <v>78</v>
      </c>
      <c r="H17" s="3">
        <v>97</v>
      </c>
      <c r="I17" s="3">
        <v>175</v>
      </c>
      <c r="J17" s="3">
        <v>87.5</v>
      </c>
      <c r="L17" s="3" t="s">
        <v>100</v>
      </c>
      <c r="M17" s="3" t="s">
        <v>25</v>
      </c>
      <c r="N17" s="3">
        <v>72</v>
      </c>
      <c r="O17" s="3">
        <v>88</v>
      </c>
      <c r="P17" s="3">
        <v>160</v>
      </c>
      <c r="Q17" s="3">
        <v>80</v>
      </c>
    </row>
    <row r="18" spans="2:17" x14ac:dyDescent="0.3">
      <c r="B18" s="3" t="s">
        <v>36</v>
      </c>
      <c r="C18" s="3" t="s">
        <v>22</v>
      </c>
      <c r="D18" s="3" t="s">
        <v>35</v>
      </c>
      <c r="E18" s="3" t="s">
        <v>15</v>
      </c>
      <c r="F18" s="12">
        <v>38810</v>
      </c>
      <c r="G18" s="3">
        <v>74</v>
      </c>
      <c r="H18" s="3">
        <v>63</v>
      </c>
      <c r="I18" s="3">
        <v>137</v>
      </c>
      <c r="J18" s="3">
        <v>68.5</v>
      </c>
    </row>
    <row r="19" spans="2:17" x14ac:dyDescent="0.3">
      <c r="B19" s="3" t="s">
        <v>37</v>
      </c>
      <c r="C19" s="3" t="s">
        <v>38</v>
      </c>
      <c r="D19" s="3" t="s">
        <v>20</v>
      </c>
      <c r="E19" s="3" t="s">
        <v>15</v>
      </c>
      <c r="F19" s="12">
        <v>35997</v>
      </c>
      <c r="G19" s="3">
        <v>80</v>
      </c>
      <c r="H19" s="3">
        <v>74</v>
      </c>
      <c r="I19" s="3">
        <v>154</v>
      </c>
      <c r="J19" s="3">
        <v>77</v>
      </c>
    </row>
    <row r="20" spans="2:17" x14ac:dyDescent="0.3">
      <c r="B20" s="3" t="s">
        <v>39</v>
      </c>
      <c r="C20" s="3" t="s">
        <v>25</v>
      </c>
      <c r="D20" s="3" t="s">
        <v>31</v>
      </c>
      <c r="E20" s="3" t="s">
        <v>12</v>
      </c>
      <c r="F20" s="12">
        <v>36313</v>
      </c>
      <c r="G20" s="3">
        <v>89</v>
      </c>
      <c r="H20" s="3">
        <v>65</v>
      </c>
      <c r="I20" s="3">
        <v>154</v>
      </c>
      <c r="J20" s="3">
        <v>77</v>
      </c>
      <c r="L20" s="74"/>
    </row>
    <row r="21" spans="2:17" x14ac:dyDescent="0.3">
      <c r="B21" s="3" t="s">
        <v>40</v>
      </c>
      <c r="C21" s="3" t="s">
        <v>10</v>
      </c>
      <c r="D21" s="3" t="s">
        <v>11</v>
      </c>
      <c r="E21" s="3" t="s">
        <v>15</v>
      </c>
      <c r="F21" s="12">
        <v>40869</v>
      </c>
      <c r="G21" s="3">
        <v>67</v>
      </c>
      <c r="H21" s="3">
        <v>67</v>
      </c>
      <c r="I21" s="3">
        <v>134</v>
      </c>
      <c r="J21" s="3">
        <v>67</v>
      </c>
    </row>
    <row r="22" spans="2:17" x14ac:dyDescent="0.3">
      <c r="B22" s="3" t="s">
        <v>41</v>
      </c>
      <c r="C22" s="3" t="s">
        <v>38</v>
      </c>
      <c r="D22" s="3" t="s">
        <v>35</v>
      </c>
      <c r="E22" s="3" t="s">
        <v>15</v>
      </c>
      <c r="F22" s="12">
        <v>37523</v>
      </c>
      <c r="G22" s="3">
        <v>70</v>
      </c>
      <c r="H22" s="3">
        <v>90</v>
      </c>
      <c r="I22" s="3">
        <v>160</v>
      </c>
      <c r="J22" s="3">
        <v>80</v>
      </c>
    </row>
    <row r="23" spans="2:17" x14ac:dyDescent="0.3">
      <c r="B23" s="3" t="s">
        <v>42</v>
      </c>
      <c r="C23" s="3" t="s">
        <v>17</v>
      </c>
      <c r="D23" s="3" t="s">
        <v>20</v>
      </c>
      <c r="E23" s="3" t="s">
        <v>12</v>
      </c>
      <c r="F23" s="12">
        <v>35083</v>
      </c>
      <c r="G23" s="3">
        <v>73</v>
      </c>
      <c r="H23" s="3">
        <v>72</v>
      </c>
      <c r="I23" s="3">
        <v>145</v>
      </c>
      <c r="J23" s="3">
        <v>72.5</v>
      </c>
    </row>
    <row r="24" spans="2:17" x14ac:dyDescent="0.3">
      <c r="B24" s="3" t="s">
        <v>43</v>
      </c>
      <c r="C24" s="3" t="s">
        <v>10</v>
      </c>
      <c r="D24" s="3" t="s">
        <v>31</v>
      </c>
      <c r="E24" s="3" t="s">
        <v>12</v>
      </c>
      <c r="F24" s="12">
        <v>35613</v>
      </c>
      <c r="G24" s="3">
        <v>72</v>
      </c>
      <c r="H24" s="3">
        <v>91</v>
      </c>
      <c r="I24" s="3">
        <v>163</v>
      </c>
      <c r="J24" s="3">
        <v>81.5</v>
      </c>
      <c r="L24" s="42"/>
    </row>
    <row r="25" spans="2:17" x14ac:dyDescent="0.3">
      <c r="B25" s="3" t="s">
        <v>44</v>
      </c>
      <c r="C25" s="3" t="s">
        <v>29</v>
      </c>
      <c r="D25" s="3" t="s">
        <v>31</v>
      </c>
      <c r="E25" s="3" t="s">
        <v>12</v>
      </c>
      <c r="F25" s="12">
        <v>36993</v>
      </c>
      <c r="G25" s="3">
        <v>83</v>
      </c>
      <c r="H25" s="3">
        <v>93</v>
      </c>
      <c r="I25" s="3">
        <v>176</v>
      </c>
      <c r="J25" s="3">
        <v>88</v>
      </c>
    </row>
    <row r="26" spans="2:17" x14ac:dyDescent="0.3">
      <c r="B26" s="3" t="s">
        <v>45</v>
      </c>
      <c r="C26" s="3" t="s">
        <v>22</v>
      </c>
      <c r="D26" s="3" t="s">
        <v>11</v>
      </c>
      <c r="E26" s="3" t="s">
        <v>12</v>
      </c>
      <c r="F26" s="12">
        <v>41312</v>
      </c>
      <c r="G26" s="3">
        <v>92</v>
      </c>
      <c r="H26" s="3">
        <v>99</v>
      </c>
      <c r="I26" s="3">
        <v>191</v>
      </c>
      <c r="J26" s="3">
        <v>95.5</v>
      </c>
    </row>
    <row r="27" spans="2:17" x14ac:dyDescent="0.3">
      <c r="B27" s="3" t="s">
        <v>46</v>
      </c>
      <c r="C27" s="3" t="s">
        <v>38</v>
      </c>
      <c r="D27" s="3" t="s">
        <v>11</v>
      </c>
      <c r="E27" s="3" t="s">
        <v>15</v>
      </c>
      <c r="F27" s="12">
        <v>41278</v>
      </c>
      <c r="G27" s="3">
        <v>91</v>
      </c>
      <c r="H27" s="3">
        <v>60</v>
      </c>
      <c r="I27" s="3">
        <v>151</v>
      </c>
      <c r="J27" s="3">
        <v>75.5</v>
      </c>
    </row>
    <row r="28" spans="2:17" x14ac:dyDescent="0.3">
      <c r="B28" s="3" t="s">
        <v>47</v>
      </c>
      <c r="C28" s="3" t="s">
        <v>27</v>
      </c>
      <c r="D28" s="3" t="s">
        <v>23</v>
      </c>
      <c r="E28" s="3" t="s">
        <v>15</v>
      </c>
      <c r="F28" s="12">
        <v>40816</v>
      </c>
      <c r="G28" s="3">
        <v>69</v>
      </c>
      <c r="H28" s="3">
        <v>86</v>
      </c>
      <c r="I28" s="3">
        <v>155</v>
      </c>
      <c r="J28" s="3">
        <v>77.5</v>
      </c>
    </row>
    <row r="29" spans="2:17" x14ac:dyDescent="0.3">
      <c r="B29" s="3" t="s">
        <v>48</v>
      </c>
      <c r="C29" s="3" t="s">
        <v>14</v>
      </c>
      <c r="D29" s="3" t="s">
        <v>35</v>
      </c>
      <c r="E29" s="3" t="s">
        <v>12</v>
      </c>
      <c r="F29" s="12">
        <v>38980</v>
      </c>
      <c r="G29" s="3">
        <v>87</v>
      </c>
      <c r="H29" s="3">
        <v>92</v>
      </c>
      <c r="I29" s="3">
        <v>179</v>
      </c>
      <c r="J29" s="3">
        <v>89.5</v>
      </c>
    </row>
    <row r="30" spans="2:17" x14ac:dyDescent="0.3">
      <c r="B30" s="3" t="s">
        <v>49</v>
      </c>
      <c r="C30" s="3" t="s">
        <v>22</v>
      </c>
      <c r="D30" s="3" t="s">
        <v>31</v>
      </c>
      <c r="E30" s="3" t="s">
        <v>15</v>
      </c>
      <c r="F30" s="12">
        <v>37049</v>
      </c>
      <c r="G30" s="3">
        <v>92</v>
      </c>
      <c r="H30" s="3">
        <v>91</v>
      </c>
      <c r="I30" s="3">
        <v>183</v>
      </c>
      <c r="J30" s="3">
        <v>91.5</v>
      </c>
      <c r="Q30" s="42"/>
    </row>
    <row r="31" spans="2:17" x14ac:dyDescent="0.3">
      <c r="B31" s="3" t="s">
        <v>50</v>
      </c>
      <c r="C31" s="3" t="s">
        <v>22</v>
      </c>
      <c r="D31" s="3" t="s">
        <v>11</v>
      </c>
      <c r="E31" s="3" t="s">
        <v>12</v>
      </c>
      <c r="F31" s="12">
        <v>41568</v>
      </c>
      <c r="G31" s="3">
        <v>78</v>
      </c>
      <c r="H31" s="3">
        <v>78</v>
      </c>
      <c r="I31" s="3">
        <v>156</v>
      </c>
      <c r="J31" s="3">
        <v>78</v>
      </c>
    </row>
    <row r="32" spans="2:17" x14ac:dyDescent="0.3">
      <c r="B32" s="3" t="s">
        <v>51</v>
      </c>
      <c r="C32" s="3" t="s">
        <v>22</v>
      </c>
      <c r="D32" s="3" t="s">
        <v>35</v>
      </c>
      <c r="E32" s="3" t="s">
        <v>12</v>
      </c>
      <c r="F32" s="12">
        <v>37418</v>
      </c>
      <c r="G32" s="3">
        <v>81</v>
      </c>
      <c r="H32" s="3">
        <v>78</v>
      </c>
      <c r="I32" s="3">
        <v>159</v>
      </c>
      <c r="J32" s="3">
        <v>79.5</v>
      </c>
    </row>
    <row r="33" spans="2:17" x14ac:dyDescent="0.3">
      <c r="B33" s="3" t="s">
        <v>52</v>
      </c>
      <c r="C33" s="3" t="s">
        <v>53</v>
      </c>
      <c r="D33" s="3" t="s">
        <v>20</v>
      </c>
      <c r="E33" s="3" t="s">
        <v>15</v>
      </c>
      <c r="F33" s="12">
        <v>35235</v>
      </c>
      <c r="G33" s="3">
        <v>88</v>
      </c>
      <c r="H33" s="3">
        <v>92</v>
      </c>
      <c r="I33" s="3">
        <v>180</v>
      </c>
      <c r="J33" s="3">
        <v>90</v>
      </c>
    </row>
    <row r="34" spans="2:17" x14ac:dyDescent="0.3">
      <c r="B34" s="3" t="s">
        <v>54</v>
      </c>
      <c r="C34" s="3" t="s">
        <v>27</v>
      </c>
      <c r="D34" s="3" t="s">
        <v>35</v>
      </c>
      <c r="E34" s="3" t="s">
        <v>12</v>
      </c>
      <c r="F34" s="12">
        <v>38672</v>
      </c>
      <c r="G34" s="3">
        <v>75</v>
      </c>
      <c r="H34" s="3">
        <v>70</v>
      </c>
      <c r="I34" s="3">
        <v>145</v>
      </c>
      <c r="J34" s="3">
        <v>72.5</v>
      </c>
    </row>
    <row r="35" spans="2:17" x14ac:dyDescent="0.3">
      <c r="B35" s="3" t="s">
        <v>55</v>
      </c>
      <c r="C35" s="3" t="s">
        <v>17</v>
      </c>
      <c r="D35" s="3" t="s">
        <v>23</v>
      </c>
      <c r="E35" s="3" t="s">
        <v>12</v>
      </c>
      <c r="F35" s="12">
        <v>40826</v>
      </c>
      <c r="G35" s="3">
        <v>94</v>
      </c>
      <c r="H35" s="3">
        <v>84</v>
      </c>
      <c r="I35" s="3">
        <v>178</v>
      </c>
      <c r="J35" s="3">
        <v>89</v>
      </c>
      <c r="Q35" s="42"/>
    </row>
    <row r="36" spans="2:17" x14ac:dyDescent="0.3">
      <c r="B36" s="3" t="s">
        <v>56</v>
      </c>
      <c r="C36" s="3" t="s">
        <v>17</v>
      </c>
      <c r="D36" s="3" t="s">
        <v>35</v>
      </c>
      <c r="E36" s="3" t="s">
        <v>15</v>
      </c>
      <c r="F36" s="12">
        <v>38758</v>
      </c>
      <c r="G36" s="3">
        <v>67</v>
      </c>
      <c r="H36" s="3">
        <v>74</v>
      </c>
      <c r="I36" s="3">
        <v>141</v>
      </c>
      <c r="J36" s="3">
        <v>70.5</v>
      </c>
      <c r="Q36" s="42"/>
    </row>
    <row r="37" spans="2:17" x14ac:dyDescent="0.3">
      <c r="B37" s="3" t="s">
        <v>57</v>
      </c>
      <c r="C37" s="3" t="s">
        <v>27</v>
      </c>
      <c r="D37" s="3" t="s">
        <v>20</v>
      </c>
      <c r="E37" s="3" t="s">
        <v>12</v>
      </c>
      <c r="F37" s="12">
        <v>35257</v>
      </c>
      <c r="G37" s="3">
        <v>73</v>
      </c>
      <c r="H37" s="3">
        <v>99</v>
      </c>
      <c r="I37" s="3">
        <v>172</v>
      </c>
      <c r="J37" s="3">
        <v>86</v>
      </c>
      <c r="Q37" s="42"/>
    </row>
    <row r="38" spans="2:17" x14ac:dyDescent="0.3">
      <c r="B38" s="3" t="s">
        <v>58</v>
      </c>
      <c r="C38" s="3" t="s">
        <v>27</v>
      </c>
      <c r="D38" s="3" t="s">
        <v>23</v>
      </c>
      <c r="E38" s="3" t="s">
        <v>15</v>
      </c>
      <c r="F38" s="12">
        <v>39168</v>
      </c>
      <c r="G38" s="3">
        <v>87</v>
      </c>
      <c r="H38" s="3">
        <v>87</v>
      </c>
      <c r="I38" s="3">
        <v>174</v>
      </c>
      <c r="J38" s="3">
        <v>87</v>
      </c>
      <c r="Q38" s="42"/>
    </row>
    <row r="39" spans="2:17" x14ac:dyDescent="0.3">
      <c r="B39" s="3" t="s">
        <v>59</v>
      </c>
      <c r="C39" s="3" t="s">
        <v>25</v>
      </c>
      <c r="D39" s="3" t="s">
        <v>35</v>
      </c>
      <c r="E39" s="3" t="s">
        <v>12</v>
      </c>
      <c r="F39" s="12">
        <v>37335</v>
      </c>
      <c r="G39" s="3">
        <v>91</v>
      </c>
      <c r="H39" s="3">
        <v>77</v>
      </c>
      <c r="I39" s="3">
        <v>168</v>
      </c>
      <c r="J39" s="3">
        <v>84</v>
      </c>
    </row>
    <row r="40" spans="2:17" x14ac:dyDescent="0.3">
      <c r="B40" s="3" t="s">
        <v>60</v>
      </c>
      <c r="C40" s="3" t="s">
        <v>53</v>
      </c>
      <c r="D40" s="3" t="s">
        <v>11</v>
      </c>
      <c r="E40" s="3" t="s">
        <v>12</v>
      </c>
      <c r="F40" s="12">
        <v>40710</v>
      </c>
      <c r="G40" s="3">
        <v>66</v>
      </c>
      <c r="H40" s="3">
        <v>71</v>
      </c>
      <c r="I40" s="3">
        <v>137</v>
      </c>
      <c r="J40" s="3">
        <v>68.5</v>
      </c>
    </row>
    <row r="41" spans="2:17" x14ac:dyDescent="0.3">
      <c r="B41" s="3" t="s">
        <v>61</v>
      </c>
      <c r="C41" s="3" t="s">
        <v>38</v>
      </c>
      <c r="D41" s="3" t="s">
        <v>23</v>
      </c>
      <c r="E41" s="3" t="s">
        <v>15</v>
      </c>
      <c r="F41" s="12">
        <v>40788</v>
      </c>
      <c r="G41" s="3">
        <v>67</v>
      </c>
      <c r="H41" s="3">
        <v>60</v>
      </c>
      <c r="I41" s="3">
        <v>127</v>
      </c>
      <c r="J41" s="3">
        <v>63.5</v>
      </c>
    </row>
    <row r="42" spans="2:17" x14ac:dyDescent="0.3">
      <c r="B42" s="3" t="s">
        <v>62</v>
      </c>
      <c r="C42" s="3" t="s">
        <v>10</v>
      </c>
      <c r="D42" s="3" t="s">
        <v>35</v>
      </c>
      <c r="E42" s="3" t="s">
        <v>12</v>
      </c>
      <c r="F42" s="12">
        <v>38660</v>
      </c>
      <c r="G42" s="3">
        <v>88</v>
      </c>
      <c r="H42" s="3">
        <v>74</v>
      </c>
      <c r="I42" s="3">
        <v>162</v>
      </c>
      <c r="J42" s="3">
        <v>81</v>
      </c>
      <c r="Q42" s="42"/>
    </row>
    <row r="43" spans="2:17" x14ac:dyDescent="0.3">
      <c r="B43" s="3" t="s">
        <v>63</v>
      </c>
      <c r="C43" s="3" t="s">
        <v>27</v>
      </c>
      <c r="D43" s="3" t="s">
        <v>23</v>
      </c>
      <c r="E43" s="3" t="s">
        <v>12</v>
      </c>
      <c r="F43" s="12">
        <v>38891</v>
      </c>
      <c r="G43" s="3">
        <v>92</v>
      </c>
      <c r="H43" s="3">
        <v>94</v>
      </c>
      <c r="I43" s="3">
        <v>186</v>
      </c>
      <c r="J43" s="3">
        <v>93</v>
      </c>
    </row>
    <row r="44" spans="2:17" x14ac:dyDescent="0.3">
      <c r="B44" s="3" t="s">
        <v>64</v>
      </c>
      <c r="C44" s="3" t="s">
        <v>27</v>
      </c>
      <c r="D44" s="3" t="s">
        <v>31</v>
      </c>
      <c r="E44" s="3" t="s">
        <v>12</v>
      </c>
      <c r="F44" s="12">
        <v>36171</v>
      </c>
      <c r="G44" s="3">
        <v>84</v>
      </c>
      <c r="H44" s="3">
        <v>94</v>
      </c>
      <c r="I44" s="3">
        <v>178</v>
      </c>
      <c r="J44" s="3">
        <v>89</v>
      </c>
    </row>
    <row r="45" spans="2:17" x14ac:dyDescent="0.3">
      <c r="B45" s="3" t="s">
        <v>65</v>
      </c>
      <c r="C45" s="3" t="s">
        <v>14</v>
      </c>
      <c r="D45" s="3" t="s">
        <v>23</v>
      </c>
      <c r="E45" s="3" t="s">
        <v>12</v>
      </c>
      <c r="F45" s="12">
        <v>39157</v>
      </c>
      <c r="G45" s="3">
        <v>84</v>
      </c>
      <c r="H45" s="3">
        <v>62</v>
      </c>
      <c r="I45" s="3">
        <v>146</v>
      </c>
      <c r="J45" s="3">
        <v>73</v>
      </c>
    </row>
    <row r="46" spans="2:17" x14ac:dyDescent="0.3">
      <c r="B46" s="3" t="s">
        <v>66</v>
      </c>
      <c r="C46" s="3" t="s">
        <v>27</v>
      </c>
      <c r="D46" s="3" t="s">
        <v>11</v>
      </c>
      <c r="E46" s="3" t="s">
        <v>12</v>
      </c>
      <c r="F46" s="12">
        <v>41589</v>
      </c>
      <c r="G46" s="3">
        <v>68</v>
      </c>
      <c r="H46" s="3">
        <v>73</v>
      </c>
      <c r="I46" s="3">
        <v>141</v>
      </c>
      <c r="J46" s="3">
        <v>70.5</v>
      </c>
    </row>
    <row r="47" spans="2:17" x14ac:dyDescent="0.3">
      <c r="B47" s="3" t="s">
        <v>67</v>
      </c>
      <c r="C47" s="3" t="s">
        <v>68</v>
      </c>
      <c r="D47" s="3" t="s">
        <v>23</v>
      </c>
      <c r="E47" s="3" t="s">
        <v>15</v>
      </c>
      <c r="F47" s="12">
        <v>40080</v>
      </c>
      <c r="G47" s="3">
        <v>63</v>
      </c>
      <c r="H47" s="3">
        <v>62</v>
      </c>
      <c r="I47" s="3">
        <v>125</v>
      </c>
      <c r="J47" s="3">
        <v>62.5</v>
      </c>
      <c r="Q47" s="42"/>
    </row>
    <row r="48" spans="2:17" x14ac:dyDescent="0.3">
      <c r="B48" s="3" t="s">
        <v>69</v>
      </c>
      <c r="C48" s="3" t="s">
        <v>14</v>
      </c>
      <c r="D48" s="3" t="s">
        <v>31</v>
      </c>
      <c r="E48" s="3" t="s">
        <v>15</v>
      </c>
      <c r="F48" s="12">
        <v>35727</v>
      </c>
      <c r="G48" s="3">
        <v>88</v>
      </c>
      <c r="H48" s="3">
        <v>85</v>
      </c>
      <c r="I48" s="3">
        <v>173</v>
      </c>
      <c r="J48" s="3">
        <v>86.5</v>
      </c>
      <c r="Q48" s="42"/>
    </row>
    <row r="49" spans="2:10" x14ac:dyDescent="0.3">
      <c r="B49" s="3" t="s">
        <v>70</v>
      </c>
      <c r="C49" s="3" t="s">
        <v>27</v>
      </c>
      <c r="D49" s="3" t="s">
        <v>11</v>
      </c>
      <c r="E49" s="3" t="s">
        <v>12</v>
      </c>
      <c r="F49" s="12">
        <v>40883</v>
      </c>
      <c r="G49" s="3">
        <v>62</v>
      </c>
      <c r="H49" s="3">
        <v>95</v>
      </c>
      <c r="I49" s="3">
        <v>157</v>
      </c>
      <c r="J49" s="3">
        <v>78.5</v>
      </c>
    </row>
    <row r="50" spans="2:10" x14ac:dyDescent="0.3">
      <c r="B50" s="3" t="s">
        <v>71</v>
      </c>
      <c r="C50" s="3" t="s">
        <v>27</v>
      </c>
      <c r="D50" s="3" t="s">
        <v>11</v>
      </c>
      <c r="E50" s="3" t="s">
        <v>15</v>
      </c>
      <c r="F50" s="12">
        <v>41337</v>
      </c>
      <c r="G50" s="3">
        <v>95</v>
      </c>
      <c r="H50" s="3">
        <v>72</v>
      </c>
      <c r="I50" s="3">
        <v>167</v>
      </c>
      <c r="J50" s="3">
        <v>83.5</v>
      </c>
    </row>
    <row r="51" spans="2:10" x14ac:dyDescent="0.3">
      <c r="B51" s="3" t="s">
        <v>72</v>
      </c>
      <c r="C51" s="3" t="s">
        <v>17</v>
      </c>
      <c r="D51" s="3" t="s">
        <v>11</v>
      </c>
      <c r="E51" s="3" t="s">
        <v>12</v>
      </c>
      <c r="F51" s="12">
        <v>40683</v>
      </c>
      <c r="G51" s="3">
        <v>93</v>
      </c>
      <c r="H51" s="3">
        <v>69</v>
      </c>
      <c r="I51" s="3">
        <v>162</v>
      </c>
      <c r="J51" s="3">
        <v>81</v>
      </c>
    </row>
    <row r="52" spans="2:10" x14ac:dyDescent="0.3">
      <c r="B52" s="3" t="s">
        <v>73</v>
      </c>
      <c r="C52" s="3" t="s">
        <v>27</v>
      </c>
      <c r="D52" s="3" t="s">
        <v>31</v>
      </c>
      <c r="E52" s="3" t="s">
        <v>12</v>
      </c>
      <c r="F52" s="12">
        <v>36843</v>
      </c>
      <c r="G52" s="3">
        <v>79</v>
      </c>
      <c r="H52" s="3">
        <v>71</v>
      </c>
      <c r="I52" s="3">
        <v>150</v>
      </c>
      <c r="J52" s="3">
        <v>75</v>
      </c>
    </row>
    <row r="53" spans="2:10" x14ac:dyDescent="0.3">
      <c r="B53" s="3" t="s">
        <v>74</v>
      </c>
      <c r="C53" s="3" t="s">
        <v>17</v>
      </c>
      <c r="D53" s="3" t="s">
        <v>35</v>
      </c>
      <c r="E53" s="3" t="s">
        <v>12</v>
      </c>
      <c r="F53" s="12">
        <v>37285</v>
      </c>
      <c r="G53" s="3">
        <v>69</v>
      </c>
      <c r="H53" s="3">
        <v>88</v>
      </c>
      <c r="I53" s="3">
        <v>157</v>
      </c>
      <c r="J53" s="3">
        <v>78.5</v>
      </c>
    </row>
    <row r="54" spans="2:10" x14ac:dyDescent="0.3">
      <c r="B54" s="3" t="s">
        <v>75</v>
      </c>
      <c r="C54" s="3" t="s">
        <v>53</v>
      </c>
      <c r="D54" s="3" t="s">
        <v>11</v>
      </c>
      <c r="E54" s="3" t="s">
        <v>15</v>
      </c>
      <c r="F54" s="12">
        <v>42699</v>
      </c>
      <c r="G54" s="3">
        <v>95</v>
      </c>
      <c r="H54" s="3">
        <v>83</v>
      </c>
      <c r="I54" s="3">
        <v>178</v>
      </c>
      <c r="J54" s="3">
        <v>89</v>
      </c>
    </row>
    <row r="55" spans="2:10" x14ac:dyDescent="0.3">
      <c r="B55" s="3" t="s">
        <v>76</v>
      </c>
      <c r="C55" s="3" t="s">
        <v>27</v>
      </c>
      <c r="D55" s="3" t="s">
        <v>11</v>
      </c>
      <c r="E55" s="3" t="s">
        <v>15</v>
      </c>
      <c r="F55" s="12">
        <v>42667</v>
      </c>
      <c r="G55" s="3">
        <v>64</v>
      </c>
      <c r="H55" s="3">
        <v>87</v>
      </c>
      <c r="I55" s="3">
        <v>151</v>
      </c>
      <c r="J55" s="3">
        <v>75.5</v>
      </c>
    </row>
    <row r="56" spans="2:10" x14ac:dyDescent="0.3">
      <c r="B56" s="3" t="s">
        <v>77</v>
      </c>
      <c r="C56" s="3" t="s">
        <v>17</v>
      </c>
      <c r="D56" s="3" t="s">
        <v>23</v>
      </c>
      <c r="E56" s="3" t="s">
        <v>12</v>
      </c>
      <c r="F56" s="12">
        <v>39605</v>
      </c>
      <c r="G56" s="3">
        <v>93</v>
      </c>
      <c r="H56" s="3">
        <v>64</v>
      </c>
      <c r="I56" s="3">
        <v>157</v>
      </c>
      <c r="J56" s="3">
        <v>78.5</v>
      </c>
    </row>
    <row r="57" spans="2:10" x14ac:dyDescent="0.3">
      <c r="B57" s="3" t="s">
        <v>78</v>
      </c>
      <c r="C57" s="3" t="s">
        <v>29</v>
      </c>
      <c r="D57" s="3" t="s">
        <v>23</v>
      </c>
      <c r="E57" s="3" t="s">
        <v>12</v>
      </c>
      <c r="F57" s="12">
        <v>40240</v>
      </c>
      <c r="G57" s="3">
        <v>67</v>
      </c>
      <c r="H57" s="3">
        <v>73</v>
      </c>
      <c r="I57" s="3">
        <v>140</v>
      </c>
      <c r="J57" s="3">
        <v>70</v>
      </c>
    </row>
    <row r="58" spans="2:10" x14ac:dyDescent="0.3">
      <c r="B58" s="3" t="s">
        <v>79</v>
      </c>
      <c r="C58" s="3" t="s">
        <v>22</v>
      </c>
      <c r="D58" s="3" t="s">
        <v>23</v>
      </c>
      <c r="E58" s="3" t="s">
        <v>12</v>
      </c>
      <c r="F58" s="12">
        <v>39542</v>
      </c>
      <c r="G58" s="3">
        <v>73</v>
      </c>
      <c r="H58" s="3">
        <v>60</v>
      </c>
      <c r="I58" s="3">
        <v>133</v>
      </c>
      <c r="J58" s="3">
        <v>66.5</v>
      </c>
    </row>
    <row r="59" spans="2:10" x14ac:dyDescent="0.3">
      <c r="B59" s="3" t="s">
        <v>80</v>
      </c>
      <c r="C59" s="3" t="s">
        <v>53</v>
      </c>
      <c r="D59" s="3" t="s">
        <v>23</v>
      </c>
      <c r="E59" s="3" t="s">
        <v>12</v>
      </c>
      <c r="F59" s="12">
        <v>40765</v>
      </c>
      <c r="G59" s="3">
        <v>60</v>
      </c>
      <c r="H59" s="3">
        <v>75</v>
      </c>
      <c r="I59" s="3">
        <v>135</v>
      </c>
      <c r="J59" s="3">
        <v>67.5</v>
      </c>
    </row>
    <row r="60" spans="2:10" x14ac:dyDescent="0.3">
      <c r="B60" s="3" t="s">
        <v>81</v>
      </c>
      <c r="C60" s="3" t="s">
        <v>10</v>
      </c>
      <c r="D60" s="3" t="s">
        <v>23</v>
      </c>
      <c r="E60" s="3" t="s">
        <v>12</v>
      </c>
      <c r="F60" s="12">
        <v>38912</v>
      </c>
      <c r="G60" s="3">
        <v>85</v>
      </c>
      <c r="H60" s="3">
        <v>94</v>
      </c>
      <c r="I60" s="3">
        <v>179</v>
      </c>
      <c r="J60" s="3">
        <v>89.5</v>
      </c>
    </row>
    <row r="61" spans="2:10" x14ac:dyDescent="0.3">
      <c r="B61" s="3" t="s">
        <v>82</v>
      </c>
      <c r="C61" s="3" t="s">
        <v>17</v>
      </c>
      <c r="D61" s="3" t="s">
        <v>31</v>
      </c>
      <c r="E61" s="3" t="s">
        <v>12</v>
      </c>
      <c r="F61" s="12">
        <v>37152</v>
      </c>
      <c r="G61" s="3">
        <v>97</v>
      </c>
      <c r="H61" s="3">
        <v>83</v>
      </c>
      <c r="I61" s="3">
        <v>180</v>
      </c>
      <c r="J61" s="3">
        <v>90</v>
      </c>
    </row>
    <row r="62" spans="2:10" x14ac:dyDescent="0.3">
      <c r="B62" s="3" t="s">
        <v>83</v>
      </c>
      <c r="C62" s="3" t="s">
        <v>25</v>
      </c>
      <c r="D62" s="3" t="s">
        <v>23</v>
      </c>
      <c r="E62" s="3" t="s">
        <v>12</v>
      </c>
      <c r="F62" s="12">
        <v>39779</v>
      </c>
      <c r="G62" s="3">
        <v>91</v>
      </c>
      <c r="H62" s="3">
        <v>84</v>
      </c>
      <c r="I62" s="3">
        <v>175</v>
      </c>
      <c r="J62" s="3">
        <v>87.5</v>
      </c>
    </row>
    <row r="63" spans="2:10" x14ac:dyDescent="0.3">
      <c r="B63" s="3" t="s">
        <v>84</v>
      </c>
      <c r="C63" s="3" t="s">
        <v>25</v>
      </c>
      <c r="D63" s="3" t="s">
        <v>23</v>
      </c>
      <c r="E63" s="3" t="s">
        <v>12</v>
      </c>
      <c r="F63" s="12">
        <v>40200</v>
      </c>
      <c r="G63" s="3">
        <v>75</v>
      </c>
      <c r="H63" s="3">
        <v>75</v>
      </c>
      <c r="I63" s="3">
        <v>150</v>
      </c>
      <c r="J63" s="3">
        <v>75</v>
      </c>
    </row>
    <row r="64" spans="2:10" x14ac:dyDescent="0.3">
      <c r="B64" s="3" t="s">
        <v>85</v>
      </c>
      <c r="C64" s="3" t="s">
        <v>25</v>
      </c>
      <c r="D64" s="3" t="s">
        <v>23</v>
      </c>
      <c r="E64" s="3" t="s">
        <v>12</v>
      </c>
      <c r="F64" s="12">
        <v>41030</v>
      </c>
      <c r="G64" s="3">
        <v>80</v>
      </c>
      <c r="H64" s="3">
        <v>79</v>
      </c>
      <c r="I64" s="3">
        <v>159</v>
      </c>
      <c r="J64" s="3">
        <v>79.5</v>
      </c>
    </row>
    <row r="65" spans="2:10" x14ac:dyDescent="0.3">
      <c r="B65" s="3" t="s">
        <v>86</v>
      </c>
      <c r="C65" s="3" t="s">
        <v>53</v>
      </c>
      <c r="D65" s="3" t="s">
        <v>31</v>
      </c>
      <c r="E65" s="3" t="s">
        <v>15</v>
      </c>
      <c r="F65" s="12">
        <v>36255</v>
      </c>
      <c r="G65" s="3">
        <v>87</v>
      </c>
      <c r="H65" s="3">
        <v>97</v>
      </c>
      <c r="I65" s="3">
        <v>184</v>
      </c>
      <c r="J65" s="3">
        <v>92</v>
      </c>
    </row>
    <row r="66" spans="2:10" x14ac:dyDescent="0.3">
      <c r="B66" s="3" t="s">
        <v>87</v>
      </c>
      <c r="C66" s="3" t="s">
        <v>68</v>
      </c>
      <c r="D66" s="3" t="s">
        <v>20</v>
      </c>
      <c r="E66" s="3" t="s">
        <v>12</v>
      </c>
      <c r="F66" s="12">
        <v>36419</v>
      </c>
      <c r="G66" s="3">
        <v>61</v>
      </c>
      <c r="H66" s="3">
        <v>71</v>
      </c>
      <c r="I66" s="3">
        <v>132</v>
      </c>
      <c r="J66" s="3">
        <v>66</v>
      </c>
    </row>
    <row r="67" spans="2:10" x14ac:dyDescent="0.3">
      <c r="B67" s="3" t="s">
        <v>88</v>
      </c>
      <c r="C67" s="3" t="s">
        <v>27</v>
      </c>
      <c r="D67" s="3" t="s">
        <v>35</v>
      </c>
      <c r="E67" s="3" t="s">
        <v>12</v>
      </c>
      <c r="F67" s="12">
        <v>38847</v>
      </c>
      <c r="G67" s="3">
        <v>99</v>
      </c>
      <c r="H67" s="3">
        <v>75</v>
      </c>
      <c r="I67" s="3">
        <v>174</v>
      </c>
      <c r="J67" s="3">
        <v>87</v>
      </c>
    </row>
    <row r="68" spans="2:10" x14ac:dyDescent="0.3">
      <c r="B68" s="3" t="s">
        <v>89</v>
      </c>
      <c r="C68" s="3" t="s">
        <v>53</v>
      </c>
      <c r="D68" s="3" t="s">
        <v>35</v>
      </c>
      <c r="E68" s="3" t="s">
        <v>15</v>
      </c>
      <c r="F68" s="12">
        <v>38987</v>
      </c>
      <c r="G68" s="3">
        <v>75</v>
      </c>
      <c r="H68" s="3">
        <v>61</v>
      </c>
      <c r="I68" s="3">
        <v>136</v>
      </c>
      <c r="J68" s="3">
        <v>68</v>
      </c>
    </row>
    <row r="69" spans="2:10" x14ac:dyDescent="0.3">
      <c r="B69" s="3" t="s">
        <v>90</v>
      </c>
      <c r="C69" s="3" t="s">
        <v>29</v>
      </c>
      <c r="D69" s="3" t="s">
        <v>11</v>
      </c>
      <c r="E69" s="3" t="s">
        <v>15</v>
      </c>
      <c r="F69" s="12">
        <v>41157</v>
      </c>
      <c r="G69" s="3">
        <v>77</v>
      </c>
      <c r="H69" s="3">
        <v>63</v>
      </c>
      <c r="I69" s="3">
        <v>140</v>
      </c>
      <c r="J69" s="3">
        <v>70</v>
      </c>
    </row>
    <row r="70" spans="2:10" x14ac:dyDescent="0.3">
      <c r="B70" s="3" t="s">
        <v>91</v>
      </c>
      <c r="C70" s="3" t="s">
        <v>29</v>
      </c>
      <c r="D70" s="3" t="s">
        <v>35</v>
      </c>
      <c r="E70" s="3" t="s">
        <v>12</v>
      </c>
      <c r="F70" s="12">
        <v>38828</v>
      </c>
      <c r="G70" s="3">
        <v>60</v>
      </c>
      <c r="H70" s="3">
        <v>86</v>
      </c>
      <c r="I70" s="3">
        <v>146</v>
      </c>
      <c r="J70" s="3">
        <v>73</v>
      </c>
    </row>
    <row r="71" spans="2:10" x14ac:dyDescent="0.3">
      <c r="B71" s="3" t="s">
        <v>92</v>
      </c>
      <c r="C71" s="3" t="s">
        <v>22</v>
      </c>
      <c r="D71" s="3" t="s">
        <v>20</v>
      </c>
      <c r="E71" s="3" t="s">
        <v>12</v>
      </c>
      <c r="F71" s="12">
        <v>36441</v>
      </c>
      <c r="G71" s="3">
        <v>97</v>
      </c>
      <c r="H71" s="3">
        <v>94</v>
      </c>
      <c r="I71" s="3">
        <v>191</v>
      </c>
      <c r="J71" s="3">
        <v>95.5</v>
      </c>
    </row>
    <row r="72" spans="2:10" x14ac:dyDescent="0.3">
      <c r="B72" s="3" t="s">
        <v>93</v>
      </c>
      <c r="C72" s="3" t="s">
        <v>25</v>
      </c>
      <c r="D72" s="3" t="s">
        <v>20</v>
      </c>
      <c r="E72" s="3" t="s">
        <v>12</v>
      </c>
      <c r="F72" s="12">
        <v>35908</v>
      </c>
      <c r="G72" s="3">
        <v>75</v>
      </c>
      <c r="H72" s="3">
        <v>90</v>
      </c>
      <c r="I72" s="3">
        <v>165</v>
      </c>
      <c r="J72" s="3">
        <v>82.5</v>
      </c>
    </row>
    <row r="73" spans="2:10" x14ac:dyDescent="0.3">
      <c r="B73" s="3" t="s">
        <v>94</v>
      </c>
      <c r="C73" s="3" t="s">
        <v>68</v>
      </c>
      <c r="D73" s="3" t="s">
        <v>11</v>
      </c>
      <c r="E73" s="3" t="s">
        <v>12</v>
      </c>
      <c r="F73" s="12">
        <v>41765</v>
      </c>
      <c r="G73" s="3">
        <v>81</v>
      </c>
      <c r="H73" s="3">
        <v>65</v>
      </c>
      <c r="I73" s="3">
        <v>146</v>
      </c>
      <c r="J73" s="3">
        <v>73</v>
      </c>
    </row>
    <row r="74" spans="2:10" x14ac:dyDescent="0.3">
      <c r="B74" s="3" t="s">
        <v>95</v>
      </c>
      <c r="C74" s="3" t="s">
        <v>10</v>
      </c>
      <c r="D74" s="3" t="s">
        <v>23</v>
      </c>
      <c r="E74" s="3" t="s">
        <v>12</v>
      </c>
      <c r="F74" s="12">
        <v>38889</v>
      </c>
      <c r="G74" s="3">
        <v>62</v>
      </c>
      <c r="H74" s="3">
        <v>70</v>
      </c>
      <c r="I74" s="3">
        <v>132</v>
      </c>
      <c r="J74" s="3">
        <v>66</v>
      </c>
    </row>
    <row r="75" spans="2:10" x14ac:dyDescent="0.3">
      <c r="B75" s="3" t="s">
        <v>96</v>
      </c>
      <c r="C75" s="3" t="s">
        <v>25</v>
      </c>
      <c r="D75" s="3" t="s">
        <v>11</v>
      </c>
      <c r="E75" s="3" t="s">
        <v>12</v>
      </c>
      <c r="F75" s="12">
        <v>41873</v>
      </c>
      <c r="G75" s="3">
        <v>76</v>
      </c>
      <c r="H75" s="3">
        <v>89</v>
      </c>
      <c r="I75" s="3">
        <v>165</v>
      </c>
      <c r="J75" s="3">
        <v>82.5</v>
      </c>
    </row>
    <row r="76" spans="2:10" x14ac:dyDescent="0.3">
      <c r="B76" s="3" t="s">
        <v>97</v>
      </c>
      <c r="C76" s="3" t="s">
        <v>22</v>
      </c>
      <c r="D76" s="3" t="s">
        <v>23</v>
      </c>
      <c r="E76" s="3" t="s">
        <v>12</v>
      </c>
      <c r="F76" s="12">
        <v>40102</v>
      </c>
      <c r="G76" s="3">
        <v>62</v>
      </c>
      <c r="H76" s="3">
        <v>67</v>
      </c>
      <c r="I76" s="3">
        <v>129</v>
      </c>
      <c r="J76" s="3">
        <v>64.5</v>
      </c>
    </row>
    <row r="77" spans="2:10" x14ac:dyDescent="0.3">
      <c r="B77" s="3" t="s">
        <v>98</v>
      </c>
      <c r="C77" s="3" t="s">
        <v>22</v>
      </c>
      <c r="D77" s="3" t="s">
        <v>11</v>
      </c>
      <c r="E77" s="3" t="s">
        <v>12</v>
      </c>
      <c r="F77" s="12">
        <v>41914</v>
      </c>
      <c r="G77" s="3">
        <v>99</v>
      </c>
      <c r="H77" s="3">
        <v>90</v>
      </c>
      <c r="I77" s="3">
        <v>189</v>
      </c>
      <c r="J77" s="3">
        <v>94.5</v>
      </c>
    </row>
    <row r="78" spans="2:10" x14ac:dyDescent="0.3">
      <c r="B78" s="3" t="s">
        <v>99</v>
      </c>
      <c r="C78" s="3" t="s">
        <v>68</v>
      </c>
      <c r="D78" s="3" t="s">
        <v>35</v>
      </c>
      <c r="E78" s="3" t="s">
        <v>12</v>
      </c>
      <c r="F78" s="12">
        <v>37237</v>
      </c>
      <c r="G78" s="3">
        <v>60</v>
      </c>
      <c r="H78" s="3">
        <v>94</v>
      </c>
      <c r="I78" s="3">
        <v>154</v>
      </c>
      <c r="J78" s="3">
        <v>77</v>
      </c>
    </row>
    <row r="79" spans="2:10" x14ac:dyDescent="0.3">
      <c r="B79" s="3" t="s">
        <v>100</v>
      </c>
      <c r="C79" s="3" t="s">
        <v>25</v>
      </c>
      <c r="D79" s="3" t="s">
        <v>11</v>
      </c>
      <c r="E79" s="3" t="s">
        <v>12</v>
      </c>
      <c r="F79" s="12">
        <v>42951</v>
      </c>
      <c r="G79" s="3">
        <v>97</v>
      </c>
      <c r="H79" s="3">
        <v>88</v>
      </c>
      <c r="I79" s="3">
        <v>185</v>
      </c>
      <c r="J79" s="3">
        <v>92.5</v>
      </c>
    </row>
    <row r="80" spans="2:10" x14ac:dyDescent="0.3">
      <c r="B80" s="3" t="s">
        <v>101</v>
      </c>
      <c r="C80" s="3" t="s">
        <v>29</v>
      </c>
      <c r="D80" s="3" t="s">
        <v>11</v>
      </c>
      <c r="E80" s="3" t="s">
        <v>15</v>
      </c>
      <c r="F80" s="12">
        <v>42352</v>
      </c>
      <c r="G80" s="3">
        <v>96</v>
      </c>
      <c r="H80" s="3">
        <v>97</v>
      </c>
      <c r="I80" s="3">
        <v>193</v>
      </c>
      <c r="J80" s="3">
        <v>96.5</v>
      </c>
    </row>
    <row r="81" spans="2:10" x14ac:dyDescent="0.3">
      <c r="B81" s="3" t="s">
        <v>98</v>
      </c>
      <c r="C81" s="3" t="s">
        <v>22</v>
      </c>
      <c r="D81" s="3" t="s">
        <v>11</v>
      </c>
      <c r="E81" s="3" t="s">
        <v>12</v>
      </c>
      <c r="F81" s="12">
        <v>41914</v>
      </c>
      <c r="G81" s="3">
        <v>99</v>
      </c>
      <c r="H81" s="3">
        <v>90</v>
      </c>
      <c r="I81" s="3">
        <v>189</v>
      </c>
      <c r="J81" s="3">
        <v>94.5</v>
      </c>
    </row>
    <row r="82" spans="2:10" x14ac:dyDescent="0.3">
      <c r="B82" s="3" t="s">
        <v>99</v>
      </c>
      <c r="C82" s="3" t="s">
        <v>68</v>
      </c>
      <c r="D82" s="3" t="s">
        <v>35</v>
      </c>
      <c r="E82" s="3" t="s">
        <v>12</v>
      </c>
      <c r="F82" s="12">
        <v>37237</v>
      </c>
      <c r="G82" s="3">
        <v>60</v>
      </c>
      <c r="H82" s="3">
        <v>94</v>
      </c>
      <c r="I82" s="3">
        <v>154</v>
      </c>
      <c r="J82" s="3">
        <v>77</v>
      </c>
    </row>
    <row r="83" spans="2:10" x14ac:dyDescent="0.3">
      <c r="B83" s="3" t="s">
        <v>100</v>
      </c>
      <c r="C83" s="3" t="s">
        <v>25</v>
      </c>
      <c r="D83" s="3" t="s">
        <v>11</v>
      </c>
      <c r="E83" s="3" t="s">
        <v>12</v>
      </c>
      <c r="F83" s="12">
        <v>42951</v>
      </c>
      <c r="G83" s="3">
        <v>72</v>
      </c>
      <c r="H83" s="3">
        <v>88</v>
      </c>
      <c r="I83" s="3">
        <v>160</v>
      </c>
      <c r="J83" s="3">
        <v>80</v>
      </c>
    </row>
    <row r="84" spans="2:10" x14ac:dyDescent="0.3">
      <c r="B84" s="4" t="s">
        <v>101</v>
      </c>
      <c r="C84" s="4" t="s">
        <v>29</v>
      </c>
      <c r="D84" s="4" t="s">
        <v>11</v>
      </c>
      <c r="E84" s="4" t="s">
        <v>15</v>
      </c>
      <c r="F84" s="13">
        <v>42352</v>
      </c>
      <c r="G84" s="4">
        <v>80</v>
      </c>
      <c r="H84" s="4">
        <v>97</v>
      </c>
      <c r="I84" s="4">
        <v>177</v>
      </c>
      <c r="J84" s="4">
        <v>88.5</v>
      </c>
    </row>
  </sheetData>
  <phoneticPr fontId="2" type="noConversion"/>
  <dataValidations count="1">
    <dataValidation type="list" allowBlank="1" showInputMessage="1" showErrorMessage="1" sqref="M2" xr:uid="{2279FB34-65BE-4694-AFED-E87EDADF3F37}">
      <formula1>소속명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366B64-FB03-4AB6-9961-0C4B12DC482C}">
  <sheetPr codeName="Sheet9">
    <tabColor theme="9" tint="-0.249977111117893"/>
  </sheetPr>
  <dimension ref="A1:P1007"/>
  <sheetViews>
    <sheetView zoomScale="115" zoomScaleNormal="115" workbookViewId="0">
      <selection activeCell="D18" sqref="D18"/>
    </sheetView>
  </sheetViews>
  <sheetFormatPr defaultRowHeight="16.5" x14ac:dyDescent="0.3"/>
  <cols>
    <col min="1" max="1" width="1.375" customWidth="1"/>
    <col min="2" max="2" width="13" style="1" bestFit="1" customWidth="1"/>
    <col min="3" max="3" width="10.875" style="1" bestFit="1" customWidth="1"/>
    <col min="4" max="4" width="17.375" style="1" bestFit="1" customWidth="1"/>
    <col min="5" max="5" width="9.25" style="1" bestFit="1" customWidth="1"/>
    <col min="6" max="6" width="8.25" style="1" bestFit="1" customWidth="1"/>
    <col min="7" max="7" width="7.875" style="1" bestFit="1" customWidth="1"/>
    <col min="8" max="8" width="13" style="1" bestFit="1" customWidth="1"/>
    <col min="9" max="9" width="2.75" style="1" customWidth="1"/>
    <col min="10" max="10" width="9" style="42"/>
    <col min="11" max="11" width="11.125" style="42" customWidth="1"/>
    <col min="12" max="12" width="13.625" style="42" customWidth="1"/>
    <col min="13" max="13" width="9" style="42"/>
    <col min="14" max="14" width="10.875" style="42" bestFit="1" customWidth="1"/>
    <col min="15" max="15" width="9" style="42"/>
    <col min="16" max="16" width="10.875" style="42" bestFit="1" customWidth="1"/>
    <col min="17" max="16384" width="9" style="42"/>
  </cols>
  <sheetData>
    <row r="1" spans="1:16" customFormat="1" ht="17.25" thickBot="1" x14ac:dyDescent="0.35"/>
    <row r="2" spans="1:16" customFormat="1" hidden="1" x14ac:dyDescent="0.3">
      <c r="B2" s="2" t="s">
        <v>170</v>
      </c>
      <c r="C2" s="2" t="s">
        <v>169</v>
      </c>
      <c r="D2" s="2" t="s">
        <v>171</v>
      </c>
      <c r="E2" s="2" t="s">
        <v>171</v>
      </c>
    </row>
    <row r="3" spans="1:16" customFormat="1" hidden="1" x14ac:dyDescent="0.3">
      <c r="B3" s="2" t="str">
        <f>IF(L7="","",L7)</f>
        <v>한국가스공사</v>
      </c>
      <c r="C3" s="2" t="str">
        <f>IF(L8="","",L8)</f>
        <v>CM-100</v>
      </c>
      <c r="D3" s="2" t="str">
        <f>IF(L9="","&gt;="&amp;1,"&gt;="&amp;L9)</f>
        <v>&gt;=1</v>
      </c>
      <c r="E3" s="2" t="str">
        <f ca="1">IF(L10="","&lt;="&amp;TODAY(),"&lt;="&amp;L10)</f>
        <v>&lt;=44022</v>
      </c>
    </row>
    <row r="4" spans="1:16" customFormat="1" ht="17.25" hidden="1" thickBot="1" x14ac:dyDescent="0.35">
      <c r="B4" t="str">
        <f>IF(L10="","",L7)</f>
        <v/>
      </c>
      <c r="C4" t="str">
        <f>IF(L10="","",L10)</f>
        <v/>
      </c>
    </row>
    <row r="5" spans="1:16" customFormat="1" ht="21.75" thickTop="1" thickBot="1" x14ac:dyDescent="0.35">
      <c r="B5" s="21" t="s">
        <v>172</v>
      </c>
      <c r="C5" s="22"/>
      <c r="D5" s="22"/>
      <c r="E5" s="22"/>
      <c r="F5" s="22"/>
      <c r="G5" s="22"/>
      <c r="H5" s="22"/>
      <c r="J5" s="1"/>
      <c r="K5" s="1"/>
      <c r="L5" s="1"/>
      <c r="M5" s="1"/>
      <c r="N5" s="1"/>
      <c r="O5" s="1"/>
      <c r="P5" s="1"/>
    </row>
    <row r="6" spans="1:16" customFormat="1" ht="8.25" customHeight="1" thickTop="1" x14ac:dyDescent="0.3">
      <c r="J6" s="1"/>
      <c r="K6" s="1"/>
      <c r="L6" s="1"/>
      <c r="M6" s="1"/>
      <c r="N6" s="1"/>
      <c r="O6" s="1"/>
      <c r="P6" s="1"/>
    </row>
    <row r="7" spans="1:16" customFormat="1" x14ac:dyDescent="0.3">
      <c r="B7" s="29" t="s">
        <v>115</v>
      </c>
      <c r="C7" s="30" t="s">
        <v>116</v>
      </c>
      <c r="D7" s="30" t="s">
        <v>117</v>
      </c>
      <c r="E7" s="30" t="s">
        <v>118</v>
      </c>
      <c r="F7" s="30" t="s">
        <v>119</v>
      </c>
      <c r="G7" s="30" t="s">
        <v>120</v>
      </c>
      <c r="H7" s="30" t="s">
        <v>121</v>
      </c>
      <c r="J7" s="23" t="s">
        <v>117</v>
      </c>
      <c r="K7" s="24"/>
      <c r="L7" s="100" t="s">
        <v>165</v>
      </c>
      <c r="M7" s="101"/>
      <c r="N7" s="1"/>
      <c r="O7" s="1"/>
      <c r="P7" s="1"/>
    </row>
    <row r="8" spans="1:16" s="1" customFormat="1" x14ac:dyDescent="0.3">
      <c r="A8"/>
      <c r="B8" s="31">
        <v>1</v>
      </c>
      <c r="C8" s="32">
        <v>43479</v>
      </c>
      <c r="D8" s="33" t="s">
        <v>122</v>
      </c>
      <c r="E8" s="34" t="s">
        <v>123</v>
      </c>
      <c r="F8" s="31" t="s">
        <v>124</v>
      </c>
      <c r="G8" s="31" t="s">
        <v>125</v>
      </c>
      <c r="H8" s="35">
        <v>445000</v>
      </c>
      <c r="J8" s="25" t="s">
        <v>173</v>
      </c>
      <c r="K8" s="26"/>
      <c r="L8" s="100" t="s">
        <v>132</v>
      </c>
      <c r="M8" s="101"/>
    </row>
    <row r="9" spans="1:16" s="1" customFormat="1" x14ac:dyDescent="0.3">
      <c r="A9"/>
      <c r="B9" s="31">
        <v>2</v>
      </c>
      <c r="C9" s="32">
        <v>43472</v>
      </c>
      <c r="D9" s="33" t="s">
        <v>126</v>
      </c>
      <c r="E9" s="34" t="s">
        <v>127</v>
      </c>
      <c r="F9" s="31" t="s">
        <v>124</v>
      </c>
      <c r="G9" s="31" t="s">
        <v>128</v>
      </c>
      <c r="H9" s="35">
        <v>8201390</v>
      </c>
      <c r="J9" s="27" t="s">
        <v>174</v>
      </c>
      <c r="K9" s="28"/>
      <c r="L9" s="102"/>
      <c r="M9" s="101"/>
    </row>
    <row r="10" spans="1:16" s="1" customFormat="1" x14ac:dyDescent="0.3">
      <c r="A10"/>
      <c r="B10" s="31">
        <v>3</v>
      </c>
      <c r="C10" s="32">
        <v>43472</v>
      </c>
      <c r="D10" s="33" t="s">
        <v>129</v>
      </c>
      <c r="E10" s="34" t="s">
        <v>130</v>
      </c>
      <c r="F10" s="31" t="s">
        <v>131</v>
      </c>
      <c r="G10" s="31" t="s">
        <v>132</v>
      </c>
      <c r="H10" s="35">
        <v>48000</v>
      </c>
      <c r="J10" s="27" t="s">
        <v>175</v>
      </c>
      <c r="K10" s="28"/>
      <c r="L10" s="102"/>
      <c r="M10" s="101"/>
    </row>
    <row r="11" spans="1:16" s="1" customFormat="1" x14ac:dyDescent="0.3">
      <c r="A11"/>
      <c r="B11" s="31">
        <v>4</v>
      </c>
      <c r="C11" s="32">
        <v>43483</v>
      </c>
      <c r="D11" s="33" t="s">
        <v>133</v>
      </c>
      <c r="E11" s="34" t="s">
        <v>134</v>
      </c>
      <c r="F11" s="31" t="s">
        <v>135</v>
      </c>
      <c r="G11" s="31" t="s">
        <v>136</v>
      </c>
      <c r="H11" s="35">
        <v>730000</v>
      </c>
    </row>
    <row r="12" spans="1:16" s="1" customFormat="1" x14ac:dyDescent="0.3">
      <c r="A12"/>
      <c r="B12" s="31">
        <v>5</v>
      </c>
      <c r="C12" s="32">
        <v>43490</v>
      </c>
      <c r="D12" s="33" t="s">
        <v>126</v>
      </c>
      <c r="E12" s="34" t="s">
        <v>127</v>
      </c>
      <c r="F12" s="31" t="s">
        <v>124</v>
      </c>
      <c r="G12" s="31" t="s">
        <v>136</v>
      </c>
      <c r="H12" s="35">
        <v>162000</v>
      </c>
      <c r="J12" s="36" t="s">
        <v>115</v>
      </c>
      <c r="K12" s="37" t="s">
        <v>116</v>
      </c>
      <c r="L12" s="37" t="s">
        <v>117</v>
      </c>
      <c r="M12" s="37" t="s">
        <v>120</v>
      </c>
      <c r="N12" s="37" t="s">
        <v>121</v>
      </c>
    </row>
    <row r="13" spans="1:16" x14ac:dyDescent="0.3">
      <c r="B13" s="31">
        <v>6</v>
      </c>
      <c r="C13" s="32">
        <v>43470</v>
      </c>
      <c r="D13" s="33" t="s">
        <v>137</v>
      </c>
      <c r="E13" s="34" t="s">
        <v>138</v>
      </c>
      <c r="F13" s="31" t="s">
        <v>135</v>
      </c>
      <c r="G13" s="31" t="s">
        <v>136</v>
      </c>
      <c r="H13" s="35">
        <v>2837950</v>
      </c>
      <c r="J13" s="31">
        <v>344</v>
      </c>
      <c r="K13" s="32">
        <v>43555</v>
      </c>
      <c r="L13" s="33" t="s">
        <v>161</v>
      </c>
      <c r="M13" s="31" t="s">
        <v>132</v>
      </c>
      <c r="N13" s="35">
        <v>1140000</v>
      </c>
    </row>
    <row r="14" spans="1:16" x14ac:dyDescent="0.3">
      <c r="B14" s="31">
        <v>7</v>
      </c>
      <c r="C14" s="32">
        <v>43473</v>
      </c>
      <c r="D14" s="33" t="s">
        <v>139</v>
      </c>
      <c r="E14" s="34" t="s">
        <v>140</v>
      </c>
      <c r="F14" s="31" t="s">
        <v>131</v>
      </c>
      <c r="G14" s="31" t="s">
        <v>141</v>
      </c>
      <c r="H14" s="35">
        <v>123303000</v>
      </c>
      <c r="J14" s="31">
        <v>764</v>
      </c>
      <c r="K14" s="32">
        <v>43759</v>
      </c>
      <c r="L14" s="33" t="s">
        <v>161</v>
      </c>
      <c r="M14" s="31" t="s">
        <v>132</v>
      </c>
      <c r="N14" s="35">
        <v>1576390</v>
      </c>
    </row>
    <row r="15" spans="1:16" x14ac:dyDescent="0.3">
      <c r="B15" s="31">
        <v>8</v>
      </c>
      <c r="C15" s="32">
        <v>43470</v>
      </c>
      <c r="D15" s="33" t="s">
        <v>142</v>
      </c>
      <c r="E15" s="34" t="s">
        <v>143</v>
      </c>
      <c r="F15" s="31" t="s">
        <v>144</v>
      </c>
      <c r="G15" s="31" t="s">
        <v>132</v>
      </c>
      <c r="H15" s="35">
        <v>2150000</v>
      </c>
      <c r="J15" s="31">
        <v>777</v>
      </c>
      <c r="K15" s="32">
        <v>43765</v>
      </c>
      <c r="L15" s="33" t="s">
        <v>161</v>
      </c>
      <c r="M15" s="31" t="s">
        <v>132</v>
      </c>
      <c r="N15" s="35">
        <v>1303200</v>
      </c>
    </row>
    <row r="16" spans="1:16" x14ac:dyDescent="0.3">
      <c r="B16" s="31">
        <v>9</v>
      </c>
      <c r="C16" s="32">
        <v>43494</v>
      </c>
      <c r="D16" s="33" t="s">
        <v>142</v>
      </c>
      <c r="E16" s="34" t="s">
        <v>143</v>
      </c>
      <c r="F16" s="31" t="s">
        <v>144</v>
      </c>
      <c r="G16" s="31" t="s">
        <v>128</v>
      </c>
      <c r="H16" s="35">
        <v>23264100</v>
      </c>
      <c r="J16" s="31">
        <v>836</v>
      </c>
      <c r="K16" s="32">
        <v>43772</v>
      </c>
      <c r="L16" s="33" t="s">
        <v>161</v>
      </c>
      <c r="M16" s="31" t="s">
        <v>132</v>
      </c>
      <c r="N16" s="35">
        <v>1486940</v>
      </c>
    </row>
    <row r="17" spans="2:14" x14ac:dyDescent="0.3">
      <c r="B17" s="31">
        <v>10</v>
      </c>
      <c r="C17" s="32">
        <v>43476</v>
      </c>
      <c r="D17" s="33" t="s">
        <v>145</v>
      </c>
      <c r="E17" s="34" t="s">
        <v>146</v>
      </c>
      <c r="F17" s="31" t="s">
        <v>144</v>
      </c>
      <c r="G17" s="31" t="s">
        <v>132</v>
      </c>
      <c r="H17" s="35">
        <v>23155500</v>
      </c>
      <c r="J17" s="31">
        <v>908</v>
      </c>
      <c r="K17" s="32">
        <v>43776</v>
      </c>
      <c r="L17" s="33" t="s">
        <v>161</v>
      </c>
      <c r="M17" s="31" t="s">
        <v>132</v>
      </c>
      <c r="N17" s="35">
        <v>1452920</v>
      </c>
    </row>
    <row r="18" spans="2:14" x14ac:dyDescent="0.3">
      <c r="B18" s="31">
        <v>11</v>
      </c>
      <c r="C18" s="32">
        <v>43487</v>
      </c>
      <c r="D18" s="33" t="s">
        <v>126</v>
      </c>
      <c r="E18" s="34" t="s">
        <v>127</v>
      </c>
      <c r="F18" s="31" t="s">
        <v>147</v>
      </c>
      <c r="G18" s="31" t="s">
        <v>132</v>
      </c>
      <c r="H18" s="35">
        <v>250000</v>
      </c>
      <c r="J18" s="38"/>
      <c r="K18" s="39"/>
      <c r="L18" s="40"/>
      <c r="M18" s="38"/>
      <c r="N18" s="41"/>
    </row>
    <row r="19" spans="2:14" x14ac:dyDescent="0.3">
      <c r="B19" s="31">
        <v>12</v>
      </c>
      <c r="C19" s="32">
        <v>43466</v>
      </c>
      <c r="D19" s="33" t="s">
        <v>148</v>
      </c>
      <c r="E19" s="34" t="s">
        <v>149</v>
      </c>
      <c r="F19" s="31" t="s">
        <v>135</v>
      </c>
      <c r="G19" s="31" t="s">
        <v>136</v>
      </c>
      <c r="H19" s="35">
        <v>485000</v>
      </c>
      <c r="J19" s="38"/>
      <c r="K19" s="39"/>
      <c r="L19" s="40"/>
      <c r="M19" s="38"/>
      <c r="N19" s="41"/>
    </row>
    <row r="20" spans="2:14" x14ac:dyDescent="0.3">
      <c r="B20" s="31">
        <v>13</v>
      </c>
      <c r="C20" s="32">
        <v>43493</v>
      </c>
      <c r="D20" s="33" t="s">
        <v>150</v>
      </c>
      <c r="E20" s="34" t="s">
        <v>151</v>
      </c>
      <c r="F20" s="31" t="s">
        <v>124</v>
      </c>
      <c r="G20" s="31" t="s">
        <v>141</v>
      </c>
      <c r="H20" s="35">
        <v>16795820</v>
      </c>
      <c r="I20"/>
      <c r="J20" s="38"/>
      <c r="K20" s="39"/>
      <c r="L20" s="40"/>
      <c r="M20" s="38"/>
      <c r="N20" s="41"/>
    </row>
    <row r="21" spans="2:14" x14ac:dyDescent="0.3">
      <c r="B21" s="31">
        <v>14</v>
      </c>
      <c r="C21" s="32">
        <v>43494</v>
      </c>
      <c r="D21" s="33" t="s">
        <v>152</v>
      </c>
      <c r="E21" s="34" t="s">
        <v>153</v>
      </c>
      <c r="F21" s="31" t="s">
        <v>147</v>
      </c>
      <c r="G21" s="31" t="s">
        <v>141</v>
      </c>
      <c r="H21" s="35">
        <v>86000</v>
      </c>
      <c r="I21"/>
      <c r="J21" s="38"/>
      <c r="K21" s="39"/>
      <c r="L21" s="40"/>
      <c r="M21" s="38"/>
      <c r="N21" s="41"/>
    </row>
    <row r="22" spans="2:14" x14ac:dyDescent="0.3">
      <c r="B22" s="31">
        <v>15</v>
      </c>
      <c r="C22" s="32">
        <v>43493</v>
      </c>
      <c r="D22" s="33" t="s">
        <v>133</v>
      </c>
      <c r="E22" s="34" t="s">
        <v>134</v>
      </c>
      <c r="F22" s="31" t="s">
        <v>135</v>
      </c>
      <c r="G22" s="31" t="s">
        <v>132</v>
      </c>
      <c r="H22" s="35">
        <v>1700000</v>
      </c>
      <c r="I22"/>
      <c r="J22" s="38"/>
      <c r="K22" s="39"/>
      <c r="L22" s="40"/>
      <c r="M22" s="38"/>
      <c r="N22" s="41"/>
    </row>
    <row r="23" spans="2:14" x14ac:dyDescent="0.3">
      <c r="B23" s="31">
        <v>16</v>
      </c>
      <c r="C23" s="32">
        <v>43466</v>
      </c>
      <c r="D23" s="33" t="s">
        <v>122</v>
      </c>
      <c r="E23" s="34" t="s">
        <v>123</v>
      </c>
      <c r="F23" s="31" t="s">
        <v>147</v>
      </c>
      <c r="G23" s="31" t="s">
        <v>132</v>
      </c>
      <c r="H23" s="35">
        <v>400000</v>
      </c>
      <c r="I23"/>
    </row>
    <row r="24" spans="2:14" x14ac:dyDescent="0.3">
      <c r="B24" s="31">
        <v>17</v>
      </c>
      <c r="C24" s="32">
        <v>43487</v>
      </c>
      <c r="D24" s="33" t="s">
        <v>154</v>
      </c>
      <c r="E24" s="34" t="s">
        <v>155</v>
      </c>
      <c r="F24" s="31" t="s">
        <v>135</v>
      </c>
      <c r="G24" s="31" t="s">
        <v>132</v>
      </c>
      <c r="H24" s="35">
        <v>550000</v>
      </c>
      <c r="I24"/>
    </row>
    <row r="25" spans="2:14" x14ac:dyDescent="0.3">
      <c r="B25" s="31">
        <v>18</v>
      </c>
      <c r="C25" s="32">
        <v>43473</v>
      </c>
      <c r="D25" s="33" t="s">
        <v>156</v>
      </c>
      <c r="E25" s="34" t="s">
        <v>157</v>
      </c>
      <c r="F25" s="31" t="s">
        <v>135</v>
      </c>
      <c r="G25" s="31" t="s">
        <v>158</v>
      </c>
      <c r="H25" s="35">
        <v>2432000</v>
      </c>
      <c r="I25"/>
    </row>
    <row r="26" spans="2:14" x14ac:dyDescent="0.3">
      <c r="B26" s="31">
        <v>19</v>
      </c>
      <c r="C26" s="32">
        <v>42369</v>
      </c>
      <c r="D26" s="33" t="s">
        <v>152</v>
      </c>
      <c r="E26" s="34" t="s">
        <v>153</v>
      </c>
      <c r="F26" s="31" t="s">
        <v>147</v>
      </c>
      <c r="G26" s="31" t="s">
        <v>158</v>
      </c>
      <c r="H26" s="35">
        <v>2103000</v>
      </c>
      <c r="I26"/>
    </row>
    <row r="27" spans="2:14" x14ac:dyDescent="0.3">
      <c r="B27" s="31">
        <v>20</v>
      </c>
      <c r="C27" s="32">
        <v>43492</v>
      </c>
      <c r="D27" s="33" t="s">
        <v>148</v>
      </c>
      <c r="E27" s="34" t="s">
        <v>149</v>
      </c>
      <c r="F27" s="31" t="s">
        <v>144</v>
      </c>
      <c r="G27" s="31" t="s">
        <v>141</v>
      </c>
      <c r="H27" s="35">
        <v>56000</v>
      </c>
      <c r="I27"/>
    </row>
    <row r="28" spans="2:14" x14ac:dyDescent="0.3">
      <c r="B28" s="31">
        <v>21</v>
      </c>
      <c r="C28" s="32">
        <v>43487</v>
      </c>
      <c r="D28" s="33" t="s">
        <v>154</v>
      </c>
      <c r="E28" s="34" t="s">
        <v>155</v>
      </c>
      <c r="F28" s="31" t="s">
        <v>144</v>
      </c>
      <c r="G28" s="31" t="s">
        <v>141</v>
      </c>
      <c r="H28" s="35">
        <v>2096750</v>
      </c>
      <c r="I28"/>
    </row>
    <row r="29" spans="2:14" x14ac:dyDescent="0.3">
      <c r="B29" s="31">
        <v>22</v>
      </c>
      <c r="C29" s="32">
        <v>43479</v>
      </c>
      <c r="D29" s="33" t="s">
        <v>137</v>
      </c>
      <c r="E29" s="34" t="s">
        <v>138</v>
      </c>
      <c r="F29" s="31" t="s">
        <v>144</v>
      </c>
      <c r="G29" s="31" t="s">
        <v>136</v>
      </c>
      <c r="H29" s="35">
        <v>114000</v>
      </c>
      <c r="I29"/>
    </row>
    <row r="30" spans="2:14" x14ac:dyDescent="0.3">
      <c r="B30" s="31">
        <v>23</v>
      </c>
      <c r="C30" s="32">
        <v>43477</v>
      </c>
      <c r="D30" s="33" t="s">
        <v>133</v>
      </c>
      <c r="E30" s="34" t="s">
        <v>134</v>
      </c>
      <c r="F30" s="31" t="s">
        <v>124</v>
      </c>
      <c r="G30" s="31" t="s">
        <v>141</v>
      </c>
      <c r="H30" s="35">
        <v>640000</v>
      </c>
      <c r="I30"/>
    </row>
    <row r="31" spans="2:14" x14ac:dyDescent="0.3">
      <c r="B31" s="31">
        <v>24</v>
      </c>
      <c r="C31" s="32">
        <v>43487</v>
      </c>
      <c r="D31" s="33" t="s">
        <v>159</v>
      </c>
      <c r="E31" s="34" t="s">
        <v>160</v>
      </c>
      <c r="F31" s="31" t="s">
        <v>135</v>
      </c>
      <c r="G31" s="31" t="s">
        <v>132</v>
      </c>
      <c r="H31" s="35">
        <v>1980400</v>
      </c>
      <c r="I31"/>
    </row>
    <row r="32" spans="2:14" x14ac:dyDescent="0.3">
      <c r="B32" s="31">
        <v>25</v>
      </c>
      <c r="C32" s="32">
        <v>43483</v>
      </c>
      <c r="D32" s="33" t="s">
        <v>126</v>
      </c>
      <c r="E32" s="34" t="s">
        <v>127</v>
      </c>
      <c r="F32" s="31" t="s">
        <v>131</v>
      </c>
      <c r="G32" s="31" t="s">
        <v>128</v>
      </c>
      <c r="H32" s="35">
        <v>130000</v>
      </c>
      <c r="I32"/>
    </row>
    <row r="33" spans="2:14" x14ac:dyDescent="0.3">
      <c r="B33" s="31">
        <v>26</v>
      </c>
      <c r="C33" s="32">
        <v>43473</v>
      </c>
      <c r="D33" s="33" t="s">
        <v>126</v>
      </c>
      <c r="E33" s="34" t="s">
        <v>127</v>
      </c>
      <c r="F33" s="31" t="s">
        <v>144</v>
      </c>
      <c r="G33" s="31" t="s">
        <v>128</v>
      </c>
      <c r="H33" s="35">
        <v>2010000</v>
      </c>
      <c r="I33"/>
    </row>
    <row r="34" spans="2:14" x14ac:dyDescent="0.3">
      <c r="B34" s="31">
        <v>27</v>
      </c>
      <c r="C34" s="32">
        <v>43479</v>
      </c>
      <c r="D34" s="33" t="s">
        <v>152</v>
      </c>
      <c r="E34" s="34" t="s">
        <v>153</v>
      </c>
      <c r="F34" s="31" t="s">
        <v>124</v>
      </c>
      <c r="G34" s="31" t="s">
        <v>136</v>
      </c>
      <c r="H34" s="35">
        <v>68900</v>
      </c>
      <c r="I34"/>
    </row>
    <row r="35" spans="2:14" x14ac:dyDescent="0.3">
      <c r="B35" s="31">
        <v>28</v>
      </c>
      <c r="C35" s="32">
        <v>43479</v>
      </c>
      <c r="D35" s="33" t="s">
        <v>150</v>
      </c>
      <c r="E35" s="34" t="s">
        <v>151</v>
      </c>
      <c r="F35" s="31" t="s">
        <v>135</v>
      </c>
      <c r="G35" s="31" t="s">
        <v>128</v>
      </c>
      <c r="H35" s="35">
        <v>4770000</v>
      </c>
      <c r="I35"/>
    </row>
    <row r="36" spans="2:14" x14ac:dyDescent="0.3">
      <c r="B36" s="31">
        <v>29</v>
      </c>
      <c r="C36" s="32">
        <v>43479</v>
      </c>
      <c r="D36" s="33" t="s">
        <v>137</v>
      </c>
      <c r="E36" s="34" t="s">
        <v>138</v>
      </c>
      <c r="F36" s="31" t="s">
        <v>124</v>
      </c>
      <c r="G36" s="31" t="s">
        <v>136</v>
      </c>
      <c r="H36" s="35">
        <v>35610</v>
      </c>
      <c r="I36"/>
    </row>
    <row r="37" spans="2:14" x14ac:dyDescent="0.3">
      <c r="B37" s="31">
        <v>30</v>
      </c>
      <c r="C37" s="32">
        <v>43472</v>
      </c>
      <c r="D37" s="33" t="s">
        <v>161</v>
      </c>
      <c r="E37" s="34" t="s">
        <v>162</v>
      </c>
      <c r="F37" s="31" t="s">
        <v>144</v>
      </c>
      <c r="G37" s="31" t="s">
        <v>158</v>
      </c>
      <c r="H37" s="35">
        <v>31000</v>
      </c>
      <c r="I37"/>
      <c r="J37" s="38"/>
      <c r="K37" s="39"/>
      <c r="L37" s="40"/>
      <c r="M37" s="38"/>
      <c r="N37" s="41"/>
    </row>
    <row r="38" spans="2:14" x14ac:dyDescent="0.3">
      <c r="B38" s="31">
        <v>31</v>
      </c>
      <c r="C38" s="32">
        <v>43472</v>
      </c>
      <c r="D38" s="33" t="s">
        <v>150</v>
      </c>
      <c r="E38" s="34" t="s">
        <v>151</v>
      </c>
      <c r="F38" s="31" t="s">
        <v>135</v>
      </c>
      <c r="G38" s="31" t="s">
        <v>158</v>
      </c>
      <c r="H38" s="35">
        <v>158510</v>
      </c>
      <c r="I38"/>
      <c r="J38" s="38"/>
      <c r="K38" s="39"/>
      <c r="L38" s="40"/>
      <c r="M38" s="38"/>
      <c r="N38" s="41"/>
    </row>
    <row r="39" spans="2:14" x14ac:dyDescent="0.3">
      <c r="B39" s="31">
        <v>32</v>
      </c>
      <c r="C39" s="32">
        <v>43472</v>
      </c>
      <c r="D39" s="33" t="s">
        <v>156</v>
      </c>
      <c r="E39" s="34" t="s">
        <v>157</v>
      </c>
      <c r="F39" s="31" t="s">
        <v>147</v>
      </c>
      <c r="G39" s="31" t="s">
        <v>128</v>
      </c>
      <c r="H39" s="35">
        <v>876000</v>
      </c>
      <c r="I39"/>
      <c r="J39" s="38"/>
      <c r="K39" s="39"/>
      <c r="L39" s="40"/>
      <c r="M39" s="38"/>
      <c r="N39" s="41"/>
    </row>
    <row r="40" spans="2:14" x14ac:dyDescent="0.3">
      <c r="B40" s="31">
        <v>33</v>
      </c>
      <c r="C40" s="32">
        <v>43487</v>
      </c>
      <c r="D40" s="33" t="s">
        <v>163</v>
      </c>
      <c r="E40" s="34" t="s">
        <v>164</v>
      </c>
      <c r="F40" s="31" t="s">
        <v>144</v>
      </c>
      <c r="G40" s="31" t="s">
        <v>136</v>
      </c>
      <c r="H40" s="35">
        <v>750000</v>
      </c>
      <c r="I40"/>
      <c r="J40" s="38"/>
      <c r="K40" s="39"/>
      <c r="L40" s="40"/>
      <c r="M40" s="38"/>
      <c r="N40" s="41"/>
    </row>
    <row r="41" spans="2:14" x14ac:dyDescent="0.3">
      <c r="B41" s="31">
        <v>34</v>
      </c>
      <c r="C41" s="32">
        <v>43466</v>
      </c>
      <c r="D41" s="33" t="s">
        <v>139</v>
      </c>
      <c r="E41" s="34" t="s">
        <v>140</v>
      </c>
      <c r="F41" s="31" t="s">
        <v>147</v>
      </c>
      <c r="G41" s="31" t="s">
        <v>136</v>
      </c>
      <c r="H41" s="35">
        <v>231600</v>
      </c>
      <c r="I41"/>
      <c r="J41" s="38"/>
      <c r="K41" s="39"/>
      <c r="L41" s="40"/>
      <c r="M41" s="38"/>
      <c r="N41" s="41"/>
    </row>
    <row r="42" spans="2:14" x14ac:dyDescent="0.3">
      <c r="B42" s="31">
        <v>35</v>
      </c>
      <c r="C42" s="32">
        <v>43486</v>
      </c>
      <c r="D42" s="33" t="s">
        <v>161</v>
      </c>
      <c r="E42" s="34" t="s">
        <v>162</v>
      </c>
      <c r="F42" s="31" t="s">
        <v>124</v>
      </c>
      <c r="G42" s="31" t="s">
        <v>128</v>
      </c>
      <c r="H42" s="35">
        <v>1453000</v>
      </c>
      <c r="I42"/>
      <c r="J42" s="38"/>
      <c r="K42" s="39"/>
      <c r="L42" s="40"/>
      <c r="M42" s="38"/>
      <c r="N42" s="41"/>
    </row>
    <row r="43" spans="2:14" x14ac:dyDescent="0.3">
      <c r="B43" s="31">
        <v>36</v>
      </c>
      <c r="C43" s="32">
        <v>43493</v>
      </c>
      <c r="D43" s="33" t="s">
        <v>152</v>
      </c>
      <c r="E43" s="34" t="s">
        <v>153</v>
      </c>
      <c r="F43" s="31" t="s">
        <v>144</v>
      </c>
      <c r="G43" s="31" t="s">
        <v>136</v>
      </c>
      <c r="H43" s="35">
        <v>1150000</v>
      </c>
      <c r="I43"/>
      <c r="J43" s="38"/>
      <c r="K43" s="39"/>
      <c r="L43" s="40"/>
      <c r="M43" s="38"/>
      <c r="N43" s="41"/>
    </row>
    <row r="44" spans="2:14" x14ac:dyDescent="0.3">
      <c r="B44" s="31">
        <v>37</v>
      </c>
      <c r="C44" s="32">
        <v>43494</v>
      </c>
      <c r="D44" s="33" t="s">
        <v>159</v>
      </c>
      <c r="E44" s="34" t="s">
        <v>160</v>
      </c>
      <c r="F44" s="31" t="s">
        <v>124</v>
      </c>
      <c r="G44" s="31" t="s">
        <v>125</v>
      </c>
      <c r="H44" s="35">
        <v>1314000</v>
      </c>
      <c r="I44"/>
      <c r="J44" s="38"/>
      <c r="K44" s="39"/>
      <c r="L44" s="40"/>
      <c r="M44" s="38"/>
      <c r="N44" s="41"/>
    </row>
    <row r="45" spans="2:14" x14ac:dyDescent="0.3">
      <c r="B45" s="31">
        <v>38</v>
      </c>
      <c r="C45" s="32">
        <v>43479</v>
      </c>
      <c r="D45" s="33" t="s">
        <v>133</v>
      </c>
      <c r="E45" s="34" t="s">
        <v>134</v>
      </c>
      <c r="F45" s="31" t="s">
        <v>135</v>
      </c>
      <c r="G45" s="31" t="s">
        <v>141</v>
      </c>
      <c r="H45" s="35">
        <v>527000</v>
      </c>
      <c r="I45"/>
      <c r="J45" s="38"/>
      <c r="K45" s="39"/>
      <c r="L45" s="40"/>
      <c r="M45" s="38"/>
      <c r="N45" s="41"/>
    </row>
    <row r="46" spans="2:14" x14ac:dyDescent="0.3">
      <c r="B46" s="31">
        <v>39</v>
      </c>
      <c r="C46" s="32">
        <v>43487</v>
      </c>
      <c r="D46" s="33" t="s">
        <v>161</v>
      </c>
      <c r="E46" s="34" t="s">
        <v>162</v>
      </c>
      <c r="F46" s="31" t="s">
        <v>124</v>
      </c>
      <c r="G46" s="31" t="s">
        <v>136</v>
      </c>
      <c r="H46" s="35">
        <v>1065000</v>
      </c>
      <c r="I46"/>
      <c r="J46" s="38"/>
      <c r="K46" s="39"/>
      <c r="L46" s="40"/>
      <c r="M46" s="38"/>
      <c r="N46" s="41"/>
    </row>
    <row r="47" spans="2:14" x14ac:dyDescent="0.3">
      <c r="B47" s="31">
        <v>40</v>
      </c>
      <c r="C47" s="32">
        <v>43485</v>
      </c>
      <c r="D47" s="33" t="s">
        <v>152</v>
      </c>
      <c r="E47" s="34" t="s">
        <v>153</v>
      </c>
      <c r="F47" s="31" t="s">
        <v>124</v>
      </c>
      <c r="G47" s="31" t="s">
        <v>136</v>
      </c>
      <c r="H47" s="35">
        <v>410000</v>
      </c>
      <c r="I47"/>
      <c r="J47" s="38"/>
      <c r="K47" s="39"/>
      <c r="L47" s="40"/>
      <c r="M47" s="38"/>
      <c r="N47" s="41"/>
    </row>
    <row r="48" spans="2:14" x14ac:dyDescent="0.3">
      <c r="B48" s="31">
        <v>41</v>
      </c>
      <c r="C48" s="32">
        <v>43473</v>
      </c>
      <c r="D48" s="33" t="s">
        <v>133</v>
      </c>
      <c r="E48" s="34" t="s">
        <v>134</v>
      </c>
      <c r="F48" s="31" t="s">
        <v>144</v>
      </c>
      <c r="G48" s="31" t="s">
        <v>158</v>
      </c>
      <c r="H48" s="35">
        <v>50000</v>
      </c>
      <c r="I48"/>
      <c r="J48" s="38"/>
      <c r="K48" s="39"/>
      <c r="L48" s="40"/>
      <c r="M48" s="38"/>
      <c r="N48" s="41"/>
    </row>
    <row r="49" spans="2:14" x14ac:dyDescent="0.3">
      <c r="B49" s="31">
        <v>42</v>
      </c>
      <c r="C49" s="32">
        <v>43472</v>
      </c>
      <c r="D49" s="33" t="s">
        <v>122</v>
      </c>
      <c r="E49" s="34" t="s">
        <v>123</v>
      </c>
      <c r="F49" s="31" t="s">
        <v>131</v>
      </c>
      <c r="G49" s="31" t="s">
        <v>136</v>
      </c>
      <c r="H49" s="35">
        <v>350200</v>
      </c>
      <c r="I49"/>
      <c r="J49" s="38"/>
      <c r="K49" s="39"/>
      <c r="L49" s="40"/>
      <c r="M49" s="38"/>
      <c r="N49" s="41"/>
    </row>
    <row r="50" spans="2:14" x14ac:dyDescent="0.3">
      <c r="B50" s="31">
        <v>43</v>
      </c>
      <c r="C50" s="32">
        <v>43493</v>
      </c>
      <c r="D50" s="33" t="s">
        <v>148</v>
      </c>
      <c r="E50" s="34" t="s">
        <v>149</v>
      </c>
      <c r="F50" s="31" t="s">
        <v>131</v>
      </c>
      <c r="G50" s="31" t="s">
        <v>158</v>
      </c>
      <c r="H50" s="35">
        <v>336000</v>
      </c>
      <c r="I50"/>
      <c r="J50" s="38"/>
      <c r="K50" s="39"/>
      <c r="L50" s="40"/>
      <c r="M50" s="38"/>
      <c r="N50" s="41"/>
    </row>
    <row r="51" spans="2:14" x14ac:dyDescent="0.3">
      <c r="B51" s="31">
        <v>44</v>
      </c>
      <c r="C51" s="32">
        <v>43472</v>
      </c>
      <c r="D51" s="33" t="s">
        <v>142</v>
      </c>
      <c r="E51" s="34" t="s">
        <v>143</v>
      </c>
      <c r="F51" s="31" t="s">
        <v>135</v>
      </c>
      <c r="G51" s="31" t="s">
        <v>128</v>
      </c>
      <c r="H51" s="35">
        <v>50000</v>
      </c>
      <c r="I51"/>
      <c r="J51" s="38"/>
      <c r="K51" s="39"/>
      <c r="L51" s="40"/>
      <c r="M51" s="38"/>
      <c r="N51" s="41"/>
    </row>
    <row r="52" spans="2:14" x14ac:dyDescent="0.3">
      <c r="B52" s="31">
        <v>45</v>
      </c>
      <c r="C52" s="32">
        <v>43479</v>
      </c>
      <c r="D52" s="33" t="s">
        <v>126</v>
      </c>
      <c r="E52" s="34" t="s">
        <v>127</v>
      </c>
      <c r="F52" s="31" t="s">
        <v>124</v>
      </c>
      <c r="G52" s="31" t="s">
        <v>125</v>
      </c>
      <c r="H52" s="35">
        <v>110000</v>
      </c>
      <c r="I52"/>
      <c r="J52" s="38"/>
      <c r="K52" s="39"/>
      <c r="L52" s="40"/>
      <c r="M52" s="38"/>
      <c r="N52" s="41"/>
    </row>
    <row r="53" spans="2:14" x14ac:dyDescent="0.3">
      <c r="B53" s="31">
        <v>46</v>
      </c>
      <c r="C53" s="32">
        <v>43473</v>
      </c>
      <c r="D53" s="33" t="s">
        <v>156</v>
      </c>
      <c r="E53" s="34" t="s">
        <v>157</v>
      </c>
      <c r="F53" s="31" t="s">
        <v>124</v>
      </c>
      <c r="G53" s="31" t="s">
        <v>128</v>
      </c>
      <c r="H53" s="35">
        <v>500000</v>
      </c>
      <c r="I53"/>
      <c r="J53" s="38"/>
      <c r="K53" s="39"/>
      <c r="L53" s="40"/>
      <c r="M53" s="38"/>
      <c r="N53" s="41"/>
    </row>
    <row r="54" spans="2:14" x14ac:dyDescent="0.3">
      <c r="B54" s="31">
        <v>47</v>
      </c>
      <c r="C54" s="32">
        <v>43480</v>
      </c>
      <c r="D54" s="33" t="s">
        <v>154</v>
      </c>
      <c r="E54" s="34" t="s">
        <v>155</v>
      </c>
      <c r="F54" s="31" t="s">
        <v>124</v>
      </c>
      <c r="G54" s="31" t="s">
        <v>141</v>
      </c>
      <c r="H54" s="35">
        <v>3500000</v>
      </c>
      <c r="I54"/>
      <c r="J54" s="38"/>
      <c r="K54" s="39"/>
      <c r="L54" s="40"/>
      <c r="M54" s="38"/>
      <c r="N54" s="41"/>
    </row>
    <row r="55" spans="2:14" x14ac:dyDescent="0.3">
      <c r="B55" s="31">
        <v>48</v>
      </c>
      <c r="C55" s="32">
        <v>43494</v>
      </c>
      <c r="D55" s="33" t="s">
        <v>139</v>
      </c>
      <c r="E55" s="34" t="s">
        <v>140</v>
      </c>
      <c r="F55" s="31" t="s">
        <v>144</v>
      </c>
      <c r="G55" s="31" t="s">
        <v>141</v>
      </c>
      <c r="H55" s="35">
        <v>346500</v>
      </c>
      <c r="I55"/>
      <c r="J55" s="38"/>
      <c r="K55" s="39"/>
      <c r="L55" s="40"/>
      <c r="M55" s="38"/>
      <c r="N55" s="41"/>
    </row>
    <row r="56" spans="2:14" x14ac:dyDescent="0.3">
      <c r="B56" s="31">
        <v>49</v>
      </c>
      <c r="C56" s="32">
        <v>43493</v>
      </c>
      <c r="D56" s="33" t="s">
        <v>122</v>
      </c>
      <c r="E56" s="34" t="s">
        <v>123</v>
      </c>
      <c r="F56" s="31" t="s">
        <v>135</v>
      </c>
      <c r="G56" s="31" t="s">
        <v>158</v>
      </c>
      <c r="H56" s="35">
        <v>7586000</v>
      </c>
      <c r="I56"/>
      <c r="J56" s="38"/>
      <c r="K56" s="39"/>
      <c r="L56" s="40"/>
      <c r="M56" s="38"/>
      <c r="N56" s="41"/>
    </row>
    <row r="57" spans="2:14" x14ac:dyDescent="0.3">
      <c r="B57" s="31">
        <v>50</v>
      </c>
      <c r="C57" s="32">
        <v>43491</v>
      </c>
      <c r="D57" s="33" t="s">
        <v>152</v>
      </c>
      <c r="E57" s="34" t="s">
        <v>153</v>
      </c>
      <c r="F57" s="31" t="s">
        <v>144</v>
      </c>
      <c r="G57" s="31" t="s">
        <v>158</v>
      </c>
      <c r="H57" s="35">
        <v>1556600</v>
      </c>
      <c r="I57"/>
      <c r="J57" s="38"/>
      <c r="K57" s="39"/>
      <c r="L57" s="40"/>
      <c r="M57" s="38"/>
      <c r="N57" s="41"/>
    </row>
    <row r="58" spans="2:14" x14ac:dyDescent="0.3">
      <c r="B58" s="31">
        <v>51</v>
      </c>
      <c r="C58" s="32">
        <v>43486</v>
      </c>
      <c r="D58" s="33" t="s">
        <v>156</v>
      </c>
      <c r="E58" s="34" t="s">
        <v>157</v>
      </c>
      <c r="F58" s="31" t="s">
        <v>144</v>
      </c>
      <c r="G58" s="31" t="s">
        <v>136</v>
      </c>
      <c r="H58" s="35">
        <v>650000</v>
      </c>
      <c r="I58"/>
      <c r="J58" s="38"/>
      <c r="K58" s="39"/>
      <c r="L58" s="40"/>
      <c r="M58" s="38"/>
      <c r="N58" s="41"/>
    </row>
    <row r="59" spans="2:14" x14ac:dyDescent="0.3">
      <c r="B59" s="31">
        <v>52</v>
      </c>
      <c r="C59" s="32">
        <v>43479</v>
      </c>
      <c r="D59" s="33" t="s">
        <v>150</v>
      </c>
      <c r="E59" s="34" t="s">
        <v>151</v>
      </c>
      <c r="F59" s="31" t="s">
        <v>135</v>
      </c>
      <c r="G59" s="31" t="s">
        <v>132</v>
      </c>
      <c r="H59" s="35">
        <v>138000</v>
      </c>
      <c r="I59"/>
      <c r="J59" s="38"/>
      <c r="K59" s="39"/>
      <c r="L59" s="40"/>
      <c r="M59" s="38"/>
      <c r="N59" s="41"/>
    </row>
    <row r="60" spans="2:14" x14ac:dyDescent="0.3">
      <c r="B60" s="31">
        <v>53</v>
      </c>
      <c r="C60" s="32">
        <v>43476</v>
      </c>
      <c r="D60" s="33" t="s">
        <v>152</v>
      </c>
      <c r="E60" s="34" t="s">
        <v>153</v>
      </c>
      <c r="F60" s="31" t="s">
        <v>147</v>
      </c>
      <c r="G60" s="31" t="s">
        <v>125</v>
      </c>
      <c r="H60" s="35">
        <v>33750</v>
      </c>
      <c r="I60"/>
      <c r="J60" s="38"/>
      <c r="K60" s="39"/>
      <c r="L60" s="40"/>
      <c r="M60" s="38"/>
      <c r="N60" s="41"/>
    </row>
    <row r="61" spans="2:14" x14ac:dyDescent="0.3">
      <c r="B61" s="31">
        <v>54</v>
      </c>
      <c r="C61" s="32">
        <v>43479</v>
      </c>
      <c r="D61" s="33" t="s">
        <v>159</v>
      </c>
      <c r="E61" s="34" t="s">
        <v>160</v>
      </c>
      <c r="F61" s="31" t="s">
        <v>147</v>
      </c>
      <c r="G61" s="31" t="s">
        <v>132</v>
      </c>
      <c r="H61" s="35">
        <v>130000</v>
      </c>
      <c r="I61"/>
      <c r="J61" s="38"/>
      <c r="K61" s="39"/>
      <c r="L61" s="40"/>
      <c r="M61" s="38"/>
      <c r="N61" s="41"/>
    </row>
    <row r="62" spans="2:14" x14ac:dyDescent="0.3">
      <c r="B62" s="31">
        <v>55</v>
      </c>
      <c r="C62" s="32">
        <v>43472</v>
      </c>
      <c r="D62" s="33" t="s">
        <v>122</v>
      </c>
      <c r="E62" s="34" t="s">
        <v>123</v>
      </c>
      <c r="F62" s="31" t="s">
        <v>131</v>
      </c>
      <c r="G62" s="31" t="s">
        <v>158</v>
      </c>
      <c r="H62" s="35">
        <v>1527000</v>
      </c>
      <c r="I62"/>
      <c r="J62" s="38"/>
      <c r="K62" s="39"/>
      <c r="L62" s="40"/>
      <c r="M62" s="38"/>
      <c r="N62" s="41"/>
    </row>
    <row r="63" spans="2:14" x14ac:dyDescent="0.3">
      <c r="B63" s="31">
        <v>56</v>
      </c>
      <c r="C63" s="32">
        <v>43479</v>
      </c>
      <c r="D63" s="33" t="s">
        <v>126</v>
      </c>
      <c r="E63" s="34" t="s">
        <v>127</v>
      </c>
      <c r="F63" s="31" t="s">
        <v>124</v>
      </c>
      <c r="G63" s="31" t="s">
        <v>158</v>
      </c>
      <c r="H63" s="35">
        <v>3767100</v>
      </c>
      <c r="I63"/>
      <c r="J63" s="38"/>
      <c r="K63" s="39"/>
      <c r="L63" s="40"/>
      <c r="M63" s="38"/>
      <c r="N63" s="41"/>
    </row>
    <row r="64" spans="2:14" x14ac:dyDescent="0.3">
      <c r="B64" s="31">
        <v>57</v>
      </c>
      <c r="C64" s="32">
        <v>43477</v>
      </c>
      <c r="D64" s="33" t="s">
        <v>137</v>
      </c>
      <c r="E64" s="34" t="s">
        <v>138</v>
      </c>
      <c r="F64" s="31" t="s">
        <v>131</v>
      </c>
      <c r="G64" s="31" t="s">
        <v>125</v>
      </c>
      <c r="H64" s="35">
        <v>1541600</v>
      </c>
      <c r="I64"/>
      <c r="J64" s="38"/>
      <c r="K64" s="39"/>
      <c r="L64" s="40"/>
      <c r="M64" s="38"/>
      <c r="N64" s="41"/>
    </row>
    <row r="65" spans="2:14" x14ac:dyDescent="0.3">
      <c r="B65" s="31">
        <v>58</v>
      </c>
      <c r="C65" s="32">
        <v>43486</v>
      </c>
      <c r="D65" s="33" t="s">
        <v>133</v>
      </c>
      <c r="E65" s="34" t="s">
        <v>134</v>
      </c>
      <c r="F65" s="31" t="s">
        <v>147</v>
      </c>
      <c r="G65" s="31" t="s">
        <v>158</v>
      </c>
      <c r="H65" s="35">
        <v>400000</v>
      </c>
      <c r="I65"/>
      <c r="J65" s="38"/>
      <c r="K65" s="39"/>
      <c r="L65" s="40"/>
      <c r="M65" s="38"/>
      <c r="N65" s="41"/>
    </row>
    <row r="66" spans="2:14" x14ac:dyDescent="0.3">
      <c r="B66" s="31">
        <v>59</v>
      </c>
      <c r="C66" s="32">
        <v>43477</v>
      </c>
      <c r="D66" s="33" t="s">
        <v>150</v>
      </c>
      <c r="E66" s="34" t="s">
        <v>151</v>
      </c>
      <c r="F66" s="31" t="s">
        <v>147</v>
      </c>
      <c r="G66" s="31" t="s">
        <v>158</v>
      </c>
      <c r="H66" s="35">
        <v>4380000</v>
      </c>
      <c r="I66"/>
      <c r="J66" s="38"/>
      <c r="K66" s="39"/>
      <c r="L66" s="40"/>
      <c r="M66" s="38"/>
      <c r="N66" s="41"/>
    </row>
    <row r="67" spans="2:14" x14ac:dyDescent="0.3">
      <c r="B67" s="31">
        <v>60</v>
      </c>
      <c r="C67" s="32">
        <v>43472</v>
      </c>
      <c r="D67" s="33" t="s">
        <v>156</v>
      </c>
      <c r="E67" s="34" t="s">
        <v>157</v>
      </c>
      <c r="F67" s="31" t="s">
        <v>135</v>
      </c>
      <c r="G67" s="31" t="s">
        <v>136</v>
      </c>
      <c r="H67" s="35">
        <v>840700</v>
      </c>
      <c r="I67"/>
    </row>
    <row r="68" spans="2:14" x14ac:dyDescent="0.3">
      <c r="B68" s="31">
        <v>61</v>
      </c>
      <c r="C68" s="32">
        <v>43478</v>
      </c>
      <c r="D68" s="33" t="s">
        <v>163</v>
      </c>
      <c r="E68" s="34" t="s">
        <v>164</v>
      </c>
      <c r="F68" s="31" t="s">
        <v>147</v>
      </c>
      <c r="G68" s="31" t="s">
        <v>141</v>
      </c>
      <c r="H68" s="35">
        <v>126000</v>
      </c>
      <c r="I68"/>
    </row>
    <row r="69" spans="2:14" x14ac:dyDescent="0.3">
      <c r="B69" s="31">
        <v>62</v>
      </c>
      <c r="C69" s="32">
        <v>43490</v>
      </c>
      <c r="D69" s="33" t="s">
        <v>126</v>
      </c>
      <c r="E69" s="34" t="s">
        <v>127</v>
      </c>
      <c r="F69" s="31" t="s">
        <v>131</v>
      </c>
      <c r="G69" s="31" t="s">
        <v>125</v>
      </c>
      <c r="H69" s="35">
        <v>3329400</v>
      </c>
      <c r="I69"/>
    </row>
    <row r="70" spans="2:14" x14ac:dyDescent="0.3">
      <c r="B70" s="31">
        <v>63</v>
      </c>
      <c r="C70" s="32">
        <v>43469</v>
      </c>
      <c r="D70" s="33" t="s">
        <v>126</v>
      </c>
      <c r="E70" s="34" t="s">
        <v>127</v>
      </c>
      <c r="F70" s="31" t="s">
        <v>135</v>
      </c>
      <c r="G70" s="31" t="s">
        <v>132</v>
      </c>
      <c r="H70" s="35">
        <v>139000</v>
      </c>
      <c r="I70"/>
    </row>
    <row r="71" spans="2:14" x14ac:dyDescent="0.3">
      <c r="B71" s="31">
        <v>64</v>
      </c>
      <c r="C71" s="32">
        <v>43477</v>
      </c>
      <c r="D71" s="33" t="s">
        <v>159</v>
      </c>
      <c r="E71" s="34" t="s">
        <v>160</v>
      </c>
      <c r="F71" s="31" t="s">
        <v>147</v>
      </c>
      <c r="G71" s="31" t="s">
        <v>141</v>
      </c>
      <c r="H71" s="35">
        <v>4000000</v>
      </c>
      <c r="I71"/>
    </row>
    <row r="72" spans="2:14" x14ac:dyDescent="0.3">
      <c r="B72" s="31">
        <v>65</v>
      </c>
      <c r="C72" s="32">
        <v>43485</v>
      </c>
      <c r="D72" s="33" t="s">
        <v>148</v>
      </c>
      <c r="E72" s="34" t="s">
        <v>149</v>
      </c>
      <c r="F72" s="31" t="s">
        <v>135</v>
      </c>
      <c r="G72" s="31" t="s">
        <v>141</v>
      </c>
      <c r="H72" s="35">
        <v>12000</v>
      </c>
      <c r="I72"/>
    </row>
    <row r="73" spans="2:14" x14ac:dyDescent="0.3">
      <c r="B73" s="31">
        <v>66</v>
      </c>
      <c r="C73" s="32">
        <v>43492</v>
      </c>
      <c r="D73" s="33" t="s">
        <v>145</v>
      </c>
      <c r="E73" s="34" t="s">
        <v>146</v>
      </c>
      <c r="F73" s="31" t="s">
        <v>131</v>
      </c>
      <c r="G73" s="31" t="s">
        <v>141</v>
      </c>
      <c r="H73" s="35">
        <v>2304680</v>
      </c>
      <c r="I73"/>
    </row>
    <row r="74" spans="2:14" x14ac:dyDescent="0.3">
      <c r="B74" s="31">
        <v>67</v>
      </c>
      <c r="C74" s="32">
        <v>43483</v>
      </c>
      <c r="D74" s="33" t="s">
        <v>126</v>
      </c>
      <c r="E74" s="34" t="s">
        <v>127</v>
      </c>
      <c r="F74" s="31" t="s">
        <v>131</v>
      </c>
      <c r="G74" s="31" t="s">
        <v>158</v>
      </c>
      <c r="H74" s="35">
        <v>226200</v>
      </c>
      <c r="I74"/>
    </row>
    <row r="75" spans="2:14" x14ac:dyDescent="0.3">
      <c r="B75" s="31">
        <v>68</v>
      </c>
      <c r="C75" s="32">
        <v>43480</v>
      </c>
      <c r="D75" s="33" t="s">
        <v>145</v>
      </c>
      <c r="E75" s="34" t="s">
        <v>146</v>
      </c>
      <c r="F75" s="31" t="s">
        <v>147</v>
      </c>
      <c r="G75" s="31" t="s">
        <v>141</v>
      </c>
      <c r="H75" s="35">
        <v>29717880</v>
      </c>
      <c r="I75"/>
    </row>
    <row r="76" spans="2:14" x14ac:dyDescent="0.3">
      <c r="B76" s="31">
        <v>69</v>
      </c>
      <c r="C76" s="32">
        <v>43473</v>
      </c>
      <c r="D76" s="33" t="s">
        <v>163</v>
      </c>
      <c r="E76" s="34" t="s">
        <v>164</v>
      </c>
      <c r="F76" s="31" t="s">
        <v>144</v>
      </c>
      <c r="G76" s="31" t="s">
        <v>158</v>
      </c>
      <c r="H76" s="35">
        <v>760000</v>
      </c>
      <c r="I76"/>
    </row>
    <row r="77" spans="2:14" x14ac:dyDescent="0.3">
      <c r="B77" s="31">
        <v>70</v>
      </c>
      <c r="C77" s="32">
        <v>43473</v>
      </c>
      <c r="D77" s="33" t="s">
        <v>163</v>
      </c>
      <c r="E77" s="34" t="s">
        <v>164</v>
      </c>
      <c r="F77" s="31" t="s">
        <v>124</v>
      </c>
      <c r="G77" s="31" t="s">
        <v>141</v>
      </c>
      <c r="H77" s="35">
        <v>750000</v>
      </c>
      <c r="I77"/>
    </row>
    <row r="78" spans="2:14" x14ac:dyDescent="0.3">
      <c r="B78" s="31">
        <v>71</v>
      </c>
      <c r="C78" s="32">
        <v>43466</v>
      </c>
      <c r="D78" s="33" t="s">
        <v>126</v>
      </c>
      <c r="E78" s="34" t="s">
        <v>127</v>
      </c>
      <c r="F78" s="31" t="s">
        <v>147</v>
      </c>
      <c r="G78" s="31" t="s">
        <v>141</v>
      </c>
      <c r="H78" s="35">
        <v>220000</v>
      </c>
      <c r="I78"/>
    </row>
    <row r="79" spans="2:14" x14ac:dyDescent="0.3">
      <c r="B79" s="31">
        <v>72</v>
      </c>
      <c r="C79" s="32">
        <v>43486</v>
      </c>
      <c r="D79" s="33" t="s">
        <v>122</v>
      </c>
      <c r="E79" s="34" t="s">
        <v>123</v>
      </c>
      <c r="F79" s="31" t="s">
        <v>144</v>
      </c>
      <c r="G79" s="31" t="s">
        <v>125</v>
      </c>
      <c r="H79" s="35">
        <v>16800</v>
      </c>
      <c r="I79"/>
    </row>
    <row r="80" spans="2:14" x14ac:dyDescent="0.3">
      <c r="B80" s="31">
        <v>73</v>
      </c>
      <c r="C80" s="32">
        <v>43472</v>
      </c>
      <c r="D80" s="33" t="s">
        <v>145</v>
      </c>
      <c r="E80" s="34" t="s">
        <v>146</v>
      </c>
      <c r="F80" s="31" t="s">
        <v>144</v>
      </c>
      <c r="G80" s="31" t="s">
        <v>141</v>
      </c>
      <c r="H80" s="35">
        <v>2600000</v>
      </c>
      <c r="I80"/>
    </row>
    <row r="81" spans="2:9" x14ac:dyDescent="0.3">
      <c r="B81" s="31">
        <v>74</v>
      </c>
      <c r="C81" s="32">
        <v>43485</v>
      </c>
      <c r="D81" s="33" t="s">
        <v>163</v>
      </c>
      <c r="E81" s="34" t="s">
        <v>164</v>
      </c>
      <c r="F81" s="31" t="s">
        <v>144</v>
      </c>
      <c r="G81" s="31" t="s">
        <v>128</v>
      </c>
      <c r="H81" s="35">
        <v>300000</v>
      </c>
      <c r="I81"/>
    </row>
    <row r="82" spans="2:9" x14ac:dyDescent="0.3">
      <c r="B82" s="31">
        <v>75</v>
      </c>
      <c r="C82" s="32">
        <v>43487</v>
      </c>
      <c r="D82" s="33" t="s">
        <v>139</v>
      </c>
      <c r="E82" s="34" t="s">
        <v>140</v>
      </c>
      <c r="F82" s="31" t="s">
        <v>135</v>
      </c>
      <c r="G82" s="31" t="s">
        <v>136</v>
      </c>
      <c r="H82" s="35">
        <v>646780</v>
      </c>
      <c r="I82"/>
    </row>
    <row r="83" spans="2:9" x14ac:dyDescent="0.3">
      <c r="B83" s="31">
        <v>76</v>
      </c>
      <c r="C83" s="32">
        <v>43493</v>
      </c>
      <c r="D83" s="33" t="s">
        <v>156</v>
      </c>
      <c r="E83" s="34" t="s">
        <v>157</v>
      </c>
      <c r="F83" s="31" t="s">
        <v>144</v>
      </c>
      <c r="G83" s="31" t="s">
        <v>132</v>
      </c>
      <c r="H83" s="35">
        <v>81000</v>
      </c>
      <c r="I83"/>
    </row>
    <row r="84" spans="2:9" x14ac:dyDescent="0.3">
      <c r="B84" s="31">
        <v>77</v>
      </c>
      <c r="C84" s="32">
        <v>42369</v>
      </c>
      <c r="D84" s="33" t="s">
        <v>139</v>
      </c>
      <c r="E84" s="34" t="s">
        <v>140</v>
      </c>
      <c r="F84" s="31" t="s">
        <v>147</v>
      </c>
      <c r="G84" s="31" t="s">
        <v>158</v>
      </c>
      <c r="H84" s="35">
        <v>2328000</v>
      </c>
      <c r="I84"/>
    </row>
    <row r="85" spans="2:9" x14ac:dyDescent="0.3">
      <c r="B85" s="31">
        <v>78</v>
      </c>
      <c r="C85" s="32">
        <v>43494</v>
      </c>
      <c r="D85" s="33" t="s">
        <v>133</v>
      </c>
      <c r="E85" s="34" t="s">
        <v>134</v>
      </c>
      <c r="F85" s="31" t="s">
        <v>147</v>
      </c>
      <c r="G85" s="31" t="s">
        <v>125</v>
      </c>
      <c r="H85" s="35">
        <v>44460000</v>
      </c>
      <c r="I85"/>
    </row>
    <row r="86" spans="2:9" x14ac:dyDescent="0.3">
      <c r="B86" s="31">
        <v>79</v>
      </c>
      <c r="C86" s="32">
        <v>43492</v>
      </c>
      <c r="D86" s="33" t="s">
        <v>139</v>
      </c>
      <c r="E86" s="34" t="s">
        <v>140</v>
      </c>
      <c r="F86" s="31" t="s">
        <v>131</v>
      </c>
      <c r="G86" s="31" t="s">
        <v>136</v>
      </c>
      <c r="H86" s="35">
        <v>2640000</v>
      </c>
      <c r="I86"/>
    </row>
    <row r="87" spans="2:9" x14ac:dyDescent="0.3">
      <c r="B87" s="31">
        <v>80</v>
      </c>
      <c r="C87" s="32">
        <v>43469</v>
      </c>
      <c r="D87" s="33" t="s">
        <v>156</v>
      </c>
      <c r="E87" s="34" t="s">
        <v>157</v>
      </c>
      <c r="F87" s="31" t="s">
        <v>144</v>
      </c>
      <c r="G87" s="31" t="s">
        <v>132</v>
      </c>
      <c r="H87" s="35">
        <v>300000</v>
      </c>
      <c r="I87"/>
    </row>
    <row r="88" spans="2:9" x14ac:dyDescent="0.3">
      <c r="B88" s="31">
        <v>81</v>
      </c>
      <c r="C88" s="32">
        <v>43522</v>
      </c>
      <c r="D88" s="33" t="s">
        <v>165</v>
      </c>
      <c r="E88" s="34" t="s">
        <v>166</v>
      </c>
      <c r="F88" s="31" t="s">
        <v>131</v>
      </c>
      <c r="G88" s="31" t="s">
        <v>158</v>
      </c>
      <c r="H88" s="35">
        <v>43600</v>
      </c>
    </row>
    <row r="89" spans="2:9" x14ac:dyDescent="0.3">
      <c r="B89" s="31">
        <v>82</v>
      </c>
      <c r="C89" s="32">
        <v>43508</v>
      </c>
      <c r="D89" s="33" t="s">
        <v>159</v>
      </c>
      <c r="E89" s="34" t="s">
        <v>160</v>
      </c>
      <c r="F89" s="31" t="s">
        <v>124</v>
      </c>
      <c r="G89" s="31" t="s">
        <v>136</v>
      </c>
      <c r="H89" s="35">
        <v>1375000</v>
      </c>
    </row>
    <row r="90" spans="2:9" x14ac:dyDescent="0.3">
      <c r="B90" s="31">
        <v>83</v>
      </c>
      <c r="C90" s="32">
        <v>43506</v>
      </c>
      <c r="D90" s="33" t="s">
        <v>148</v>
      </c>
      <c r="E90" s="34" t="s">
        <v>149</v>
      </c>
      <c r="F90" s="31" t="s">
        <v>147</v>
      </c>
      <c r="G90" s="31" t="s">
        <v>136</v>
      </c>
      <c r="H90" s="35">
        <v>1260000</v>
      </c>
    </row>
    <row r="91" spans="2:9" x14ac:dyDescent="0.3">
      <c r="B91" s="31">
        <v>84</v>
      </c>
      <c r="C91" s="32">
        <v>43522</v>
      </c>
      <c r="D91" s="33" t="s">
        <v>142</v>
      </c>
      <c r="E91" s="34" t="s">
        <v>143</v>
      </c>
      <c r="F91" s="31" t="s">
        <v>144</v>
      </c>
      <c r="G91" s="31" t="s">
        <v>158</v>
      </c>
      <c r="H91" s="35">
        <v>240000</v>
      </c>
    </row>
    <row r="92" spans="2:9" x14ac:dyDescent="0.3">
      <c r="B92" s="31">
        <v>85</v>
      </c>
      <c r="C92" s="32">
        <v>43526</v>
      </c>
      <c r="D92" s="33" t="s">
        <v>145</v>
      </c>
      <c r="E92" s="34" t="s">
        <v>146</v>
      </c>
      <c r="F92" s="31" t="s">
        <v>135</v>
      </c>
      <c r="G92" s="31" t="s">
        <v>128</v>
      </c>
      <c r="H92" s="35">
        <v>1040000</v>
      </c>
    </row>
    <row r="93" spans="2:9" x14ac:dyDescent="0.3">
      <c r="B93" s="31">
        <v>86</v>
      </c>
      <c r="C93" s="32">
        <v>43525</v>
      </c>
      <c r="D93" s="33" t="s">
        <v>154</v>
      </c>
      <c r="E93" s="34" t="s">
        <v>155</v>
      </c>
      <c r="F93" s="31" t="s">
        <v>131</v>
      </c>
      <c r="G93" s="31" t="s">
        <v>132</v>
      </c>
      <c r="H93" s="35">
        <v>7820100</v>
      </c>
    </row>
    <row r="94" spans="2:9" x14ac:dyDescent="0.3">
      <c r="B94" s="31">
        <v>87</v>
      </c>
      <c r="C94" s="32">
        <v>43500</v>
      </c>
      <c r="D94" s="33" t="s">
        <v>142</v>
      </c>
      <c r="E94" s="34" t="s">
        <v>143</v>
      </c>
      <c r="F94" s="31" t="s">
        <v>147</v>
      </c>
      <c r="G94" s="31" t="s">
        <v>158</v>
      </c>
      <c r="H94" s="35">
        <v>6545700</v>
      </c>
    </row>
    <row r="95" spans="2:9" x14ac:dyDescent="0.3">
      <c r="B95" s="31">
        <v>88</v>
      </c>
      <c r="C95" s="32">
        <v>43522</v>
      </c>
      <c r="D95" s="33" t="s">
        <v>159</v>
      </c>
      <c r="E95" s="34" t="s">
        <v>160</v>
      </c>
      <c r="F95" s="31" t="s">
        <v>124</v>
      </c>
      <c r="G95" s="31" t="s">
        <v>125</v>
      </c>
      <c r="H95" s="35">
        <v>280880</v>
      </c>
    </row>
    <row r="96" spans="2:9" x14ac:dyDescent="0.3">
      <c r="B96" s="31">
        <v>89</v>
      </c>
      <c r="C96" s="32">
        <v>43500</v>
      </c>
      <c r="D96" s="33" t="s">
        <v>152</v>
      </c>
      <c r="E96" s="34" t="s">
        <v>153</v>
      </c>
      <c r="F96" s="31" t="s">
        <v>124</v>
      </c>
      <c r="G96" s="31" t="s">
        <v>141</v>
      </c>
      <c r="H96" s="35">
        <v>215000</v>
      </c>
    </row>
    <row r="97" spans="2:8" x14ac:dyDescent="0.3">
      <c r="B97" s="31">
        <v>90</v>
      </c>
      <c r="C97" s="32">
        <v>43513</v>
      </c>
      <c r="D97" s="33" t="s">
        <v>165</v>
      </c>
      <c r="E97" s="34" t="s">
        <v>166</v>
      </c>
      <c r="F97" s="31" t="s">
        <v>135</v>
      </c>
      <c r="G97" s="31" t="s">
        <v>125</v>
      </c>
      <c r="H97" s="35">
        <v>500000</v>
      </c>
    </row>
    <row r="98" spans="2:8" x14ac:dyDescent="0.3">
      <c r="B98" s="31">
        <v>91</v>
      </c>
      <c r="C98" s="32">
        <v>43514</v>
      </c>
      <c r="D98" s="33" t="s">
        <v>139</v>
      </c>
      <c r="E98" s="34" t="s">
        <v>140</v>
      </c>
      <c r="F98" s="31" t="s">
        <v>144</v>
      </c>
      <c r="G98" s="31" t="s">
        <v>158</v>
      </c>
      <c r="H98" s="35">
        <v>9994250</v>
      </c>
    </row>
    <row r="99" spans="2:8" x14ac:dyDescent="0.3">
      <c r="B99" s="31">
        <v>92</v>
      </c>
      <c r="C99" s="32">
        <v>43504</v>
      </c>
      <c r="D99" s="33" t="s">
        <v>165</v>
      </c>
      <c r="E99" s="34" t="s">
        <v>166</v>
      </c>
      <c r="F99" s="31" t="s">
        <v>147</v>
      </c>
      <c r="G99" s="31" t="s">
        <v>158</v>
      </c>
      <c r="H99" s="35">
        <v>170000</v>
      </c>
    </row>
    <row r="100" spans="2:8" x14ac:dyDescent="0.3">
      <c r="B100" s="31">
        <v>93</v>
      </c>
      <c r="C100" s="32">
        <v>43507</v>
      </c>
      <c r="D100" s="33" t="s">
        <v>129</v>
      </c>
      <c r="E100" s="34" t="s">
        <v>130</v>
      </c>
      <c r="F100" s="31" t="s">
        <v>147</v>
      </c>
      <c r="G100" s="31" t="s">
        <v>158</v>
      </c>
      <c r="H100" s="35">
        <v>790000</v>
      </c>
    </row>
    <row r="101" spans="2:8" x14ac:dyDescent="0.3">
      <c r="B101" s="31">
        <v>94</v>
      </c>
      <c r="C101" s="32">
        <v>43508</v>
      </c>
      <c r="D101" s="33" t="s">
        <v>142</v>
      </c>
      <c r="E101" s="34" t="s">
        <v>143</v>
      </c>
      <c r="F101" s="31" t="s">
        <v>131</v>
      </c>
      <c r="G101" s="31" t="s">
        <v>136</v>
      </c>
      <c r="H101" s="35">
        <v>170000</v>
      </c>
    </row>
    <row r="102" spans="2:8" x14ac:dyDescent="0.3">
      <c r="B102" s="31">
        <v>95</v>
      </c>
      <c r="C102" s="32">
        <v>43500</v>
      </c>
      <c r="D102" s="33" t="s">
        <v>126</v>
      </c>
      <c r="E102" s="34" t="s">
        <v>127</v>
      </c>
      <c r="F102" s="31" t="s">
        <v>147</v>
      </c>
      <c r="G102" s="31" t="s">
        <v>158</v>
      </c>
      <c r="H102" s="35">
        <v>36000</v>
      </c>
    </row>
    <row r="103" spans="2:8" x14ac:dyDescent="0.3">
      <c r="B103" s="31">
        <v>96</v>
      </c>
      <c r="C103" s="32">
        <v>43513</v>
      </c>
      <c r="D103" s="33" t="s">
        <v>133</v>
      </c>
      <c r="E103" s="34" t="s">
        <v>134</v>
      </c>
      <c r="F103" s="31" t="s">
        <v>124</v>
      </c>
      <c r="G103" s="31" t="s">
        <v>125</v>
      </c>
      <c r="H103" s="35">
        <v>7568700</v>
      </c>
    </row>
    <row r="104" spans="2:8" x14ac:dyDescent="0.3">
      <c r="B104" s="31">
        <v>97</v>
      </c>
      <c r="C104" s="32">
        <v>43497</v>
      </c>
      <c r="D104" s="33" t="s">
        <v>163</v>
      </c>
      <c r="E104" s="34" t="s">
        <v>164</v>
      </c>
      <c r="F104" s="31" t="s">
        <v>147</v>
      </c>
      <c r="G104" s="31" t="s">
        <v>158</v>
      </c>
      <c r="H104" s="35">
        <v>253000</v>
      </c>
    </row>
    <row r="105" spans="2:8" x14ac:dyDescent="0.3">
      <c r="B105" s="31">
        <v>98</v>
      </c>
      <c r="C105" s="32">
        <v>43514</v>
      </c>
      <c r="D105" s="33" t="s">
        <v>154</v>
      </c>
      <c r="E105" s="34" t="s">
        <v>155</v>
      </c>
      <c r="F105" s="31" t="s">
        <v>124</v>
      </c>
      <c r="G105" s="31" t="s">
        <v>136</v>
      </c>
      <c r="H105" s="35">
        <v>586000</v>
      </c>
    </row>
    <row r="106" spans="2:8" x14ac:dyDescent="0.3">
      <c r="B106" s="31">
        <v>99</v>
      </c>
      <c r="C106" s="32">
        <v>43525</v>
      </c>
      <c r="D106" s="33" t="s">
        <v>122</v>
      </c>
      <c r="E106" s="34" t="s">
        <v>123</v>
      </c>
      <c r="F106" s="31" t="s">
        <v>131</v>
      </c>
      <c r="G106" s="31" t="s">
        <v>136</v>
      </c>
      <c r="H106" s="35">
        <v>2031800</v>
      </c>
    </row>
    <row r="107" spans="2:8" x14ac:dyDescent="0.3">
      <c r="B107" s="31">
        <v>100</v>
      </c>
      <c r="C107" s="32">
        <v>43504</v>
      </c>
      <c r="D107" s="33" t="s">
        <v>139</v>
      </c>
      <c r="E107" s="34" t="s">
        <v>140</v>
      </c>
      <c r="F107" s="31" t="s">
        <v>147</v>
      </c>
      <c r="G107" s="31" t="s">
        <v>158</v>
      </c>
      <c r="H107" s="35">
        <v>488920</v>
      </c>
    </row>
    <row r="108" spans="2:8" x14ac:dyDescent="0.3">
      <c r="B108" s="31">
        <v>101</v>
      </c>
      <c r="C108" s="32">
        <v>43515</v>
      </c>
      <c r="D108" s="33" t="s">
        <v>139</v>
      </c>
      <c r="E108" s="34" t="s">
        <v>140</v>
      </c>
      <c r="F108" s="31" t="s">
        <v>147</v>
      </c>
      <c r="G108" s="31" t="s">
        <v>141</v>
      </c>
      <c r="H108" s="35">
        <v>3339750</v>
      </c>
    </row>
    <row r="109" spans="2:8" x14ac:dyDescent="0.3">
      <c r="B109" s="31">
        <v>102</v>
      </c>
      <c r="C109" s="32">
        <v>43514</v>
      </c>
      <c r="D109" s="33" t="s">
        <v>167</v>
      </c>
      <c r="E109" s="34" t="s">
        <v>168</v>
      </c>
      <c r="F109" s="31" t="s">
        <v>124</v>
      </c>
      <c r="G109" s="31" t="s">
        <v>158</v>
      </c>
      <c r="H109" s="35">
        <v>4019300</v>
      </c>
    </row>
    <row r="110" spans="2:8" x14ac:dyDescent="0.3">
      <c r="B110" s="31">
        <v>103</v>
      </c>
      <c r="C110" s="32">
        <v>43522</v>
      </c>
      <c r="D110" s="33" t="s">
        <v>165</v>
      </c>
      <c r="E110" s="34" t="s">
        <v>166</v>
      </c>
      <c r="F110" s="31" t="s">
        <v>124</v>
      </c>
      <c r="G110" s="31" t="s">
        <v>136</v>
      </c>
      <c r="H110" s="35">
        <v>3139200</v>
      </c>
    </row>
    <row r="111" spans="2:8" x14ac:dyDescent="0.3">
      <c r="B111" s="31">
        <v>104</v>
      </c>
      <c r="C111" s="32">
        <v>43519</v>
      </c>
      <c r="D111" s="33" t="s">
        <v>145</v>
      </c>
      <c r="E111" s="34" t="s">
        <v>146</v>
      </c>
      <c r="F111" s="31" t="s">
        <v>135</v>
      </c>
      <c r="G111" s="31" t="s">
        <v>132</v>
      </c>
      <c r="H111" s="35">
        <v>1302000</v>
      </c>
    </row>
    <row r="112" spans="2:8" x14ac:dyDescent="0.3">
      <c r="B112" s="31">
        <v>105</v>
      </c>
      <c r="C112" s="32">
        <v>43500</v>
      </c>
      <c r="D112" s="33" t="s">
        <v>165</v>
      </c>
      <c r="E112" s="34" t="s">
        <v>166</v>
      </c>
      <c r="F112" s="31" t="s">
        <v>144</v>
      </c>
      <c r="G112" s="31" t="s">
        <v>132</v>
      </c>
      <c r="H112" s="35">
        <v>558000</v>
      </c>
    </row>
    <row r="113" spans="2:8" x14ac:dyDescent="0.3">
      <c r="B113" s="31">
        <v>106</v>
      </c>
      <c r="C113" s="32">
        <v>43514</v>
      </c>
      <c r="D113" s="33" t="s">
        <v>150</v>
      </c>
      <c r="E113" s="34" t="s">
        <v>151</v>
      </c>
      <c r="F113" s="31" t="s">
        <v>147</v>
      </c>
      <c r="G113" s="31" t="s">
        <v>132</v>
      </c>
      <c r="H113" s="35">
        <v>615100</v>
      </c>
    </row>
    <row r="114" spans="2:8" x14ac:dyDescent="0.3">
      <c r="B114" s="31">
        <v>107</v>
      </c>
      <c r="C114" s="32">
        <v>43514</v>
      </c>
      <c r="D114" s="33" t="s">
        <v>150</v>
      </c>
      <c r="E114" s="34" t="s">
        <v>151</v>
      </c>
      <c r="F114" s="31" t="s">
        <v>144</v>
      </c>
      <c r="G114" s="31" t="s">
        <v>158</v>
      </c>
      <c r="H114" s="35">
        <v>1335000</v>
      </c>
    </row>
    <row r="115" spans="2:8" x14ac:dyDescent="0.3">
      <c r="B115" s="31">
        <v>108</v>
      </c>
      <c r="C115" s="32">
        <v>43522</v>
      </c>
      <c r="D115" s="33" t="s">
        <v>156</v>
      </c>
      <c r="E115" s="34" t="s">
        <v>157</v>
      </c>
      <c r="F115" s="31" t="s">
        <v>147</v>
      </c>
      <c r="G115" s="31" t="s">
        <v>125</v>
      </c>
      <c r="H115" s="35">
        <v>2412000</v>
      </c>
    </row>
    <row r="116" spans="2:8" x14ac:dyDescent="0.3">
      <c r="B116" s="31">
        <v>109</v>
      </c>
      <c r="C116" s="32">
        <v>43518</v>
      </c>
      <c r="D116" s="33" t="s">
        <v>167</v>
      </c>
      <c r="E116" s="34" t="s">
        <v>168</v>
      </c>
      <c r="F116" s="31" t="s">
        <v>131</v>
      </c>
      <c r="G116" s="31" t="s">
        <v>158</v>
      </c>
      <c r="H116" s="35">
        <v>780000</v>
      </c>
    </row>
    <row r="117" spans="2:8" x14ac:dyDescent="0.3">
      <c r="B117" s="31">
        <v>110</v>
      </c>
      <c r="C117" s="32">
        <v>43518</v>
      </c>
      <c r="D117" s="33" t="s">
        <v>133</v>
      </c>
      <c r="E117" s="34" t="s">
        <v>134</v>
      </c>
      <c r="F117" s="31" t="s">
        <v>124</v>
      </c>
      <c r="G117" s="31" t="s">
        <v>125</v>
      </c>
      <c r="H117" s="35">
        <v>599000</v>
      </c>
    </row>
    <row r="118" spans="2:8" x14ac:dyDescent="0.3">
      <c r="B118" s="31">
        <v>111</v>
      </c>
      <c r="C118" s="32">
        <v>43507</v>
      </c>
      <c r="D118" s="33" t="s">
        <v>142</v>
      </c>
      <c r="E118" s="34" t="s">
        <v>143</v>
      </c>
      <c r="F118" s="31" t="s">
        <v>135</v>
      </c>
      <c r="G118" s="31" t="s">
        <v>132</v>
      </c>
      <c r="H118" s="35">
        <v>2714220</v>
      </c>
    </row>
    <row r="119" spans="2:8" x14ac:dyDescent="0.3">
      <c r="B119" s="31">
        <v>112</v>
      </c>
      <c r="C119" s="32">
        <v>43508</v>
      </c>
      <c r="D119" s="33" t="s">
        <v>145</v>
      </c>
      <c r="E119" s="34" t="s">
        <v>146</v>
      </c>
      <c r="F119" s="31" t="s">
        <v>131</v>
      </c>
      <c r="G119" s="31" t="s">
        <v>128</v>
      </c>
      <c r="H119" s="35">
        <v>1260000</v>
      </c>
    </row>
    <row r="120" spans="2:8" x14ac:dyDescent="0.3">
      <c r="B120" s="31">
        <v>113</v>
      </c>
      <c r="C120" s="32">
        <v>43512</v>
      </c>
      <c r="D120" s="33" t="s">
        <v>148</v>
      </c>
      <c r="E120" s="34" t="s">
        <v>149</v>
      </c>
      <c r="F120" s="31" t="s">
        <v>147</v>
      </c>
      <c r="G120" s="31" t="s">
        <v>125</v>
      </c>
      <c r="H120" s="35">
        <v>1781300</v>
      </c>
    </row>
    <row r="121" spans="2:8" x14ac:dyDescent="0.3">
      <c r="B121" s="31">
        <v>114</v>
      </c>
      <c r="C121" s="32">
        <v>43515</v>
      </c>
      <c r="D121" s="33" t="s">
        <v>156</v>
      </c>
      <c r="E121" s="34" t="s">
        <v>157</v>
      </c>
      <c r="F121" s="31" t="s">
        <v>144</v>
      </c>
      <c r="G121" s="31" t="s">
        <v>141</v>
      </c>
      <c r="H121" s="35">
        <v>1080000</v>
      </c>
    </row>
    <row r="122" spans="2:8" x14ac:dyDescent="0.3">
      <c r="B122" s="31">
        <v>115</v>
      </c>
      <c r="C122" s="32">
        <v>43506</v>
      </c>
      <c r="D122" s="33" t="s">
        <v>156</v>
      </c>
      <c r="E122" s="34" t="s">
        <v>157</v>
      </c>
      <c r="F122" s="31" t="s">
        <v>124</v>
      </c>
      <c r="G122" s="31" t="s">
        <v>128</v>
      </c>
      <c r="H122" s="35">
        <v>207360</v>
      </c>
    </row>
    <row r="123" spans="2:8" x14ac:dyDescent="0.3">
      <c r="B123" s="31">
        <v>116</v>
      </c>
      <c r="C123" s="32">
        <v>43500</v>
      </c>
      <c r="D123" s="33" t="s">
        <v>129</v>
      </c>
      <c r="E123" s="34" t="s">
        <v>130</v>
      </c>
      <c r="F123" s="31" t="s">
        <v>131</v>
      </c>
      <c r="G123" s="31" t="s">
        <v>128</v>
      </c>
      <c r="H123" s="35">
        <v>874680</v>
      </c>
    </row>
    <row r="124" spans="2:8" x14ac:dyDescent="0.3">
      <c r="B124" s="31">
        <v>117</v>
      </c>
      <c r="C124" s="32">
        <v>43499</v>
      </c>
      <c r="D124" s="33" t="s">
        <v>142</v>
      </c>
      <c r="E124" s="34" t="s">
        <v>143</v>
      </c>
      <c r="F124" s="31" t="s">
        <v>135</v>
      </c>
      <c r="G124" s="31" t="s">
        <v>128</v>
      </c>
      <c r="H124" s="35">
        <v>1093400</v>
      </c>
    </row>
    <row r="125" spans="2:8" x14ac:dyDescent="0.3">
      <c r="B125" s="31">
        <v>118</v>
      </c>
      <c r="C125" s="32">
        <v>43498</v>
      </c>
      <c r="D125" s="33" t="s">
        <v>142</v>
      </c>
      <c r="E125" s="34" t="s">
        <v>143</v>
      </c>
      <c r="F125" s="31" t="s">
        <v>147</v>
      </c>
      <c r="G125" s="31" t="s">
        <v>158</v>
      </c>
      <c r="H125" s="35">
        <v>800000</v>
      </c>
    </row>
    <row r="126" spans="2:8" x14ac:dyDescent="0.3">
      <c r="B126" s="31">
        <v>119</v>
      </c>
      <c r="C126" s="32">
        <v>43514</v>
      </c>
      <c r="D126" s="33" t="s">
        <v>161</v>
      </c>
      <c r="E126" s="34" t="s">
        <v>162</v>
      </c>
      <c r="F126" s="31" t="s">
        <v>124</v>
      </c>
      <c r="G126" s="31" t="s">
        <v>141</v>
      </c>
      <c r="H126" s="35">
        <v>18300</v>
      </c>
    </row>
    <row r="127" spans="2:8" x14ac:dyDescent="0.3">
      <c r="B127" s="31">
        <v>120</v>
      </c>
      <c r="C127" s="32">
        <v>43514</v>
      </c>
      <c r="D127" s="33" t="s">
        <v>167</v>
      </c>
      <c r="E127" s="34" t="s">
        <v>168</v>
      </c>
      <c r="F127" s="31" t="s">
        <v>144</v>
      </c>
      <c r="G127" s="31" t="s">
        <v>125</v>
      </c>
      <c r="H127" s="35">
        <v>3100000</v>
      </c>
    </row>
    <row r="128" spans="2:8" x14ac:dyDescent="0.3">
      <c r="B128" s="31">
        <v>121</v>
      </c>
      <c r="C128" s="32">
        <v>43518</v>
      </c>
      <c r="D128" s="33" t="s">
        <v>137</v>
      </c>
      <c r="E128" s="34" t="s">
        <v>138</v>
      </c>
      <c r="F128" s="31" t="s">
        <v>135</v>
      </c>
      <c r="G128" s="31" t="s">
        <v>136</v>
      </c>
      <c r="H128" s="35">
        <v>225000</v>
      </c>
    </row>
    <row r="129" spans="2:8" x14ac:dyDescent="0.3">
      <c r="B129" s="31">
        <v>122</v>
      </c>
      <c r="C129" s="32">
        <v>43515</v>
      </c>
      <c r="D129" s="33" t="s">
        <v>145</v>
      </c>
      <c r="E129" s="34" t="s">
        <v>146</v>
      </c>
      <c r="F129" s="31" t="s">
        <v>124</v>
      </c>
      <c r="G129" s="31" t="s">
        <v>158</v>
      </c>
      <c r="H129" s="35">
        <v>1038000</v>
      </c>
    </row>
    <row r="130" spans="2:8" x14ac:dyDescent="0.3">
      <c r="B130" s="31">
        <v>123</v>
      </c>
      <c r="C130" s="32">
        <v>43505</v>
      </c>
      <c r="D130" s="33" t="s">
        <v>159</v>
      </c>
      <c r="E130" s="34" t="s">
        <v>160</v>
      </c>
      <c r="F130" s="31" t="s">
        <v>135</v>
      </c>
      <c r="G130" s="31" t="s">
        <v>132</v>
      </c>
      <c r="H130" s="35">
        <v>852000</v>
      </c>
    </row>
    <row r="131" spans="2:8" x14ac:dyDescent="0.3">
      <c r="B131" s="31">
        <v>124</v>
      </c>
      <c r="C131" s="32">
        <v>43501</v>
      </c>
      <c r="D131" s="33" t="s">
        <v>122</v>
      </c>
      <c r="E131" s="34" t="s">
        <v>123</v>
      </c>
      <c r="F131" s="31" t="s">
        <v>124</v>
      </c>
      <c r="G131" s="31" t="s">
        <v>141</v>
      </c>
      <c r="H131" s="35">
        <v>854000</v>
      </c>
    </row>
    <row r="132" spans="2:8" x14ac:dyDescent="0.3">
      <c r="B132" s="31">
        <v>125</v>
      </c>
      <c r="C132" s="32">
        <v>43518</v>
      </c>
      <c r="D132" s="33" t="s">
        <v>148</v>
      </c>
      <c r="E132" s="34" t="s">
        <v>149</v>
      </c>
      <c r="F132" s="31" t="s">
        <v>144</v>
      </c>
      <c r="G132" s="31" t="s">
        <v>125</v>
      </c>
      <c r="H132" s="35">
        <v>730000</v>
      </c>
    </row>
    <row r="133" spans="2:8" x14ac:dyDescent="0.3">
      <c r="B133" s="31">
        <v>126</v>
      </c>
      <c r="C133" s="32">
        <v>43505</v>
      </c>
      <c r="D133" s="33" t="s">
        <v>161</v>
      </c>
      <c r="E133" s="34" t="s">
        <v>162</v>
      </c>
      <c r="F133" s="31" t="s">
        <v>124</v>
      </c>
      <c r="G133" s="31" t="s">
        <v>158</v>
      </c>
      <c r="H133" s="35">
        <v>235000</v>
      </c>
    </row>
    <row r="134" spans="2:8" x14ac:dyDescent="0.3">
      <c r="B134" s="31">
        <v>127</v>
      </c>
      <c r="C134" s="32">
        <v>43500</v>
      </c>
      <c r="D134" s="33" t="s">
        <v>137</v>
      </c>
      <c r="E134" s="34" t="s">
        <v>138</v>
      </c>
      <c r="F134" s="31" t="s">
        <v>147</v>
      </c>
      <c r="G134" s="31" t="s">
        <v>128</v>
      </c>
      <c r="H134" s="35">
        <v>3450300</v>
      </c>
    </row>
    <row r="135" spans="2:8" x14ac:dyDescent="0.3">
      <c r="B135" s="31">
        <v>128</v>
      </c>
      <c r="C135" s="32">
        <v>43522</v>
      </c>
      <c r="D135" s="33" t="s">
        <v>159</v>
      </c>
      <c r="E135" s="34" t="s">
        <v>160</v>
      </c>
      <c r="F135" s="31" t="s">
        <v>135</v>
      </c>
      <c r="G135" s="31" t="s">
        <v>128</v>
      </c>
      <c r="H135" s="35">
        <v>1552300</v>
      </c>
    </row>
    <row r="136" spans="2:8" x14ac:dyDescent="0.3">
      <c r="B136" s="31">
        <v>129</v>
      </c>
      <c r="C136" s="32">
        <v>43525</v>
      </c>
      <c r="D136" s="33" t="s">
        <v>165</v>
      </c>
      <c r="E136" s="34" t="s">
        <v>166</v>
      </c>
      <c r="F136" s="31" t="s">
        <v>135</v>
      </c>
      <c r="G136" s="31" t="s">
        <v>141</v>
      </c>
      <c r="H136" s="35">
        <v>129600</v>
      </c>
    </row>
    <row r="137" spans="2:8" x14ac:dyDescent="0.3">
      <c r="B137" s="31">
        <v>130</v>
      </c>
      <c r="C137" s="32">
        <v>43512</v>
      </c>
      <c r="D137" s="33" t="s">
        <v>145</v>
      </c>
      <c r="E137" s="34" t="s">
        <v>146</v>
      </c>
      <c r="F137" s="31" t="s">
        <v>131</v>
      </c>
      <c r="G137" s="31" t="s">
        <v>132</v>
      </c>
      <c r="H137" s="35">
        <v>3163490</v>
      </c>
    </row>
    <row r="138" spans="2:8" x14ac:dyDescent="0.3">
      <c r="B138" s="31">
        <v>131</v>
      </c>
      <c r="C138" s="32">
        <v>43499</v>
      </c>
      <c r="D138" s="33" t="s">
        <v>152</v>
      </c>
      <c r="E138" s="34" t="s">
        <v>153</v>
      </c>
      <c r="F138" s="31" t="s">
        <v>135</v>
      </c>
      <c r="G138" s="31" t="s">
        <v>132</v>
      </c>
      <c r="H138" s="35">
        <v>517500</v>
      </c>
    </row>
    <row r="139" spans="2:8" x14ac:dyDescent="0.3">
      <c r="B139" s="31">
        <v>132</v>
      </c>
      <c r="C139" s="32">
        <v>43514</v>
      </c>
      <c r="D139" s="33" t="s">
        <v>156</v>
      </c>
      <c r="E139" s="34" t="s">
        <v>157</v>
      </c>
      <c r="F139" s="31" t="s">
        <v>144</v>
      </c>
      <c r="G139" s="31" t="s">
        <v>136</v>
      </c>
      <c r="H139" s="35">
        <v>198000</v>
      </c>
    </row>
    <row r="140" spans="2:8" x14ac:dyDescent="0.3">
      <c r="B140" s="31">
        <v>133</v>
      </c>
      <c r="C140" s="32">
        <v>43507</v>
      </c>
      <c r="D140" s="33" t="s">
        <v>145</v>
      </c>
      <c r="E140" s="34" t="s">
        <v>146</v>
      </c>
      <c r="F140" s="31" t="s">
        <v>144</v>
      </c>
      <c r="G140" s="31" t="s">
        <v>158</v>
      </c>
      <c r="H140" s="35">
        <v>1225800</v>
      </c>
    </row>
    <row r="141" spans="2:8" x14ac:dyDescent="0.3">
      <c r="B141" s="31">
        <v>134</v>
      </c>
      <c r="C141" s="32">
        <v>43508</v>
      </c>
      <c r="D141" s="33" t="s">
        <v>145</v>
      </c>
      <c r="E141" s="34" t="s">
        <v>146</v>
      </c>
      <c r="F141" s="31" t="s">
        <v>144</v>
      </c>
      <c r="G141" s="31" t="s">
        <v>136</v>
      </c>
      <c r="H141" s="35">
        <v>23100000</v>
      </c>
    </row>
    <row r="142" spans="2:8" x14ac:dyDescent="0.3">
      <c r="B142" s="31">
        <v>135</v>
      </c>
      <c r="C142" s="32">
        <v>43521</v>
      </c>
      <c r="D142" s="33" t="s">
        <v>156</v>
      </c>
      <c r="E142" s="34" t="s">
        <v>157</v>
      </c>
      <c r="F142" s="31" t="s">
        <v>147</v>
      </c>
      <c r="G142" s="31" t="s">
        <v>128</v>
      </c>
      <c r="H142" s="35">
        <v>1340000</v>
      </c>
    </row>
    <row r="143" spans="2:8" x14ac:dyDescent="0.3">
      <c r="B143" s="31">
        <v>136</v>
      </c>
      <c r="C143" s="32">
        <v>43511</v>
      </c>
      <c r="D143" s="33" t="s">
        <v>142</v>
      </c>
      <c r="E143" s="34" t="s">
        <v>143</v>
      </c>
      <c r="F143" s="31" t="s">
        <v>131</v>
      </c>
      <c r="G143" s="31" t="s">
        <v>125</v>
      </c>
      <c r="H143" s="35">
        <v>700000</v>
      </c>
    </row>
    <row r="144" spans="2:8" x14ac:dyDescent="0.3">
      <c r="B144" s="31">
        <v>137</v>
      </c>
      <c r="C144" s="32">
        <v>43518</v>
      </c>
      <c r="D144" s="33" t="s">
        <v>161</v>
      </c>
      <c r="E144" s="34" t="s">
        <v>162</v>
      </c>
      <c r="F144" s="31" t="s">
        <v>131</v>
      </c>
      <c r="G144" s="31" t="s">
        <v>128</v>
      </c>
      <c r="H144" s="35">
        <v>722000</v>
      </c>
    </row>
    <row r="145" spans="2:8" x14ac:dyDescent="0.3">
      <c r="B145" s="31">
        <v>138</v>
      </c>
      <c r="C145" s="32">
        <v>43518</v>
      </c>
      <c r="D145" s="33" t="s">
        <v>129</v>
      </c>
      <c r="E145" s="34" t="s">
        <v>130</v>
      </c>
      <c r="F145" s="31" t="s">
        <v>124</v>
      </c>
      <c r="G145" s="31" t="s">
        <v>125</v>
      </c>
      <c r="H145" s="35">
        <v>215000</v>
      </c>
    </row>
    <row r="146" spans="2:8" x14ac:dyDescent="0.3">
      <c r="B146" s="31">
        <v>139</v>
      </c>
      <c r="C146" s="32">
        <v>43504</v>
      </c>
      <c r="D146" s="33" t="s">
        <v>137</v>
      </c>
      <c r="E146" s="34" t="s">
        <v>138</v>
      </c>
      <c r="F146" s="31" t="s">
        <v>144</v>
      </c>
      <c r="G146" s="31" t="s">
        <v>141</v>
      </c>
      <c r="H146" s="35">
        <v>9118000</v>
      </c>
    </row>
    <row r="147" spans="2:8" x14ac:dyDescent="0.3">
      <c r="B147" s="31">
        <v>140</v>
      </c>
      <c r="C147" s="32">
        <v>43519</v>
      </c>
      <c r="D147" s="33" t="s">
        <v>142</v>
      </c>
      <c r="E147" s="34" t="s">
        <v>143</v>
      </c>
      <c r="F147" s="31" t="s">
        <v>124</v>
      </c>
      <c r="G147" s="31" t="s">
        <v>128</v>
      </c>
      <c r="H147" s="35">
        <v>215000</v>
      </c>
    </row>
    <row r="148" spans="2:8" x14ac:dyDescent="0.3">
      <c r="B148" s="31">
        <v>141</v>
      </c>
      <c r="C148" s="32">
        <v>43512</v>
      </c>
      <c r="D148" s="33" t="s">
        <v>163</v>
      </c>
      <c r="E148" s="34" t="s">
        <v>164</v>
      </c>
      <c r="F148" s="31" t="s">
        <v>144</v>
      </c>
      <c r="G148" s="31" t="s">
        <v>132</v>
      </c>
      <c r="H148" s="35">
        <v>12018060</v>
      </c>
    </row>
    <row r="149" spans="2:8" x14ac:dyDescent="0.3">
      <c r="B149" s="31">
        <v>142</v>
      </c>
      <c r="C149" s="32">
        <v>43518</v>
      </c>
      <c r="D149" s="33" t="s">
        <v>150</v>
      </c>
      <c r="E149" s="34" t="s">
        <v>151</v>
      </c>
      <c r="F149" s="31" t="s">
        <v>144</v>
      </c>
      <c r="G149" s="31" t="s">
        <v>158</v>
      </c>
      <c r="H149" s="35">
        <v>1769600</v>
      </c>
    </row>
    <row r="150" spans="2:8" x14ac:dyDescent="0.3">
      <c r="B150" s="31">
        <v>143</v>
      </c>
      <c r="C150" s="32">
        <v>43504</v>
      </c>
      <c r="D150" s="33" t="s">
        <v>137</v>
      </c>
      <c r="E150" s="34" t="s">
        <v>138</v>
      </c>
      <c r="F150" s="31" t="s">
        <v>147</v>
      </c>
      <c r="G150" s="31" t="s">
        <v>132</v>
      </c>
      <c r="H150" s="35">
        <v>1241530</v>
      </c>
    </row>
    <row r="151" spans="2:8" x14ac:dyDescent="0.3">
      <c r="B151" s="31">
        <v>144</v>
      </c>
      <c r="C151" s="32">
        <v>43514</v>
      </c>
      <c r="D151" s="33" t="s">
        <v>133</v>
      </c>
      <c r="E151" s="34" t="s">
        <v>134</v>
      </c>
      <c r="F151" s="31" t="s">
        <v>131</v>
      </c>
      <c r="G151" s="31" t="s">
        <v>141</v>
      </c>
      <c r="H151" s="35">
        <v>370000</v>
      </c>
    </row>
    <row r="152" spans="2:8" x14ac:dyDescent="0.3">
      <c r="B152" s="31">
        <v>145</v>
      </c>
      <c r="C152" s="32">
        <v>43514</v>
      </c>
      <c r="D152" s="33" t="s">
        <v>163</v>
      </c>
      <c r="E152" s="34" t="s">
        <v>164</v>
      </c>
      <c r="F152" s="31" t="s">
        <v>124</v>
      </c>
      <c r="G152" s="31" t="s">
        <v>132</v>
      </c>
      <c r="H152" s="35">
        <v>36600</v>
      </c>
    </row>
    <row r="153" spans="2:8" x14ac:dyDescent="0.3">
      <c r="B153" s="31">
        <v>146</v>
      </c>
      <c r="C153" s="32">
        <v>43499</v>
      </c>
      <c r="D153" s="33" t="s">
        <v>122</v>
      </c>
      <c r="E153" s="34" t="s">
        <v>123</v>
      </c>
      <c r="F153" s="31" t="s">
        <v>131</v>
      </c>
      <c r="G153" s="31" t="s">
        <v>125</v>
      </c>
      <c r="H153" s="35">
        <v>63800</v>
      </c>
    </row>
    <row r="154" spans="2:8" x14ac:dyDescent="0.3">
      <c r="B154" s="31">
        <v>147</v>
      </c>
      <c r="C154" s="32">
        <v>43500</v>
      </c>
      <c r="D154" s="33" t="s">
        <v>152</v>
      </c>
      <c r="E154" s="34" t="s">
        <v>153</v>
      </c>
      <c r="F154" s="31" t="s">
        <v>135</v>
      </c>
      <c r="G154" s="31" t="s">
        <v>132</v>
      </c>
      <c r="H154" s="35">
        <v>40574100</v>
      </c>
    </row>
    <row r="155" spans="2:8" x14ac:dyDescent="0.3">
      <c r="B155" s="31">
        <v>148</v>
      </c>
      <c r="C155" s="32">
        <v>43504</v>
      </c>
      <c r="D155" s="33" t="s">
        <v>142</v>
      </c>
      <c r="E155" s="34" t="s">
        <v>143</v>
      </c>
      <c r="F155" s="31" t="s">
        <v>147</v>
      </c>
      <c r="G155" s="31" t="s">
        <v>128</v>
      </c>
      <c r="H155" s="35">
        <v>270000</v>
      </c>
    </row>
    <row r="156" spans="2:8" x14ac:dyDescent="0.3">
      <c r="B156" s="31">
        <v>149</v>
      </c>
      <c r="C156" s="32">
        <v>43500</v>
      </c>
      <c r="D156" s="33" t="s">
        <v>129</v>
      </c>
      <c r="E156" s="34" t="s">
        <v>130</v>
      </c>
      <c r="F156" s="31" t="s">
        <v>131</v>
      </c>
      <c r="G156" s="31" t="s">
        <v>132</v>
      </c>
      <c r="H156" s="35">
        <v>2250000</v>
      </c>
    </row>
    <row r="157" spans="2:8" x14ac:dyDescent="0.3">
      <c r="B157" s="31">
        <v>150</v>
      </c>
      <c r="C157" s="32">
        <v>43504</v>
      </c>
      <c r="D157" s="33" t="s">
        <v>145</v>
      </c>
      <c r="E157" s="34" t="s">
        <v>146</v>
      </c>
      <c r="F157" s="31" t="s">
        <v>124</v>
      </c>
      <c r="G157" s="31" t="s">
        <v>125</v>
      </c>
      <c r="H157" s="35">
        <v>4074980</v>
      </c>
    </row>
    <row r="158" spans="2:8" x14ac:dyDescent="0.3">
      <c r="B158" s="31">
        <v>151</v>
      </c>
      <c r="C158" s="32">
        <v>43507</v>
      </c>
      <c r="D158" s="33" t="s">
        <v>142</v>
      </c>
      <c r="E158" s="34" t="s">
        <v>143</v>
      </c>
      <c r="F158" s="31" t="s">
        <v>147</v>
      </c>
      <c r="G158" s="31" t="s">
        <v>158</v>
      </c>
      <c r="H158" s="35">
        <v>565000</v>
      </c>
    </row>
    <row r="159" spans="2:8" x14ac:dyDescent="0.3">
      <c r="B159" s="31">
        <v>152</v>
      </c>
      <c r="C159" s="32">
        <v>43507</v>
      </c>
      <c r="D159" s="33" t="s">
        <v>139</v>
      </c>
      <c r="E159" s="34" t="s">
        <v>140</v>
      </c>
      <c r="F159" s="31" t="s">
        <v>147</v>
      </c>
      <c r="G159" s="31" t="s">
        <v>128</v>
      </c>
      <c r="H159" s="35">
        <v>2900900</v>
      </c>
    </row>
    <row r="160" spans="2:8" x14ac:dyDescent="0.3">
      <c r="B160" s="31">
        <v>153</v>
      </c>
      <c r="C160" s="32">
        <v>43499</v>
      </c>
      <c r="D160" s="33" t="s">
        <v>163</v>
      </c>
      <c r="E160" s="34" t="s">
        <v>164</v>
      </c>
      <c r="F160" s="31" t="s">
        <v>147</v>
      </c>
      <c r="G160" s="31" t="s">
        <v>128</v>
      </c>
      <c r="H160" s="35">
        <v>20162310</v>
      </c>
    </row>
    <row r="161" spans="2:8" x14ac:dyDescent="0.3">
      <c r="B161" s="31">
        <v>154</v>
      </c>
      <c r="C161" s="32">
        <v>43504</v>
      </c>
      <c r="D161" s="33" t="s">
        <v>156</v>
      </c>
      <c r="E161" s="34" t="s">
        <v>157</v>
      </c>
      <c r="F161" s="31" t="s">
        <v>131</v>
      </c>
      <c r="G161" s="31" t="s">
        <v>128</v>
      </c>
      <c r="H161" s="35">
        <v>2995000</v>
      </c>
    </row>
    <row r="162" spans="2:8" x14ac:dyDescent="0.3">
      <c r="B162" s="31">
        <v>155</v>
      </c>
      <c r="C162" s="32">
        <v>43525</v>
      </c>
      <c r="D162" s="33" t="s">
        <v>126</v>
      </c>
      <c r="E162" s="34" t="s">
        <v>127</v>
      </c>
      <c r="F162" s="31" t="s">
        <v>147</v>
      </c>
      <c r="G162" s="31" t="s">
        <v>141</v>
      </c>
      <c r="H162" s="35">
        <v>2968000</v>
      </c>
    </row>
    <row r="163" spans="2:8" x14ac:dyDescent="0.3">
      <c r="B163" s="31">
        <v>156</v>
      </c>
      <c r="C163" s="32">
        <v>43525</v>
      </c>
      <c r="D163" s="33" t="s">
        <v>139</v>
      </c>
      <c r="E163" s="34" t="s">
        <v>140</v>
      </c>
      <c r="F163" s="31" t="s">
        <v>135</v>
      </c>
      <c r="G163" s="31" t="s">
        <v>158</v>
      </c>
      <c r="H163" s="35">
        <v>2965000</v>
      </c>
    </row>
    <row r="164" spans="2:8" x14ac:dyDescent="0.3">
      <c r="B164" s="31">
        <v>157</v>
      </c>
      <c r="C164" s="32">
        <v>43508</v>
      </c>
      <c r="D164" s="33" t="s">
        <v>159</v>
      </c>
      <c r="E164" s="34" t="s">
        <v>160</v>
      </c>
      <c r="F164" s="31" t="s">
        <v>124</v>
      </c>
      <c r="G164" s="31" t="s">
        <v>125</v>
      </c>
      <c r="H164" s="35">
        <v>2315780</v>
      </c>
    </row>
    <row r="165" spans="2:8" x14ac:dyDescent="0.3">
      <c r="B165" s="31">
        <v>158</v>
      </c>
      <c r="C165" s="32">
        <v>43508</v>
      </c>
      <c r="D165" s="33" t="s">
        <v>142</v>
      </c>
      <c r="E165" s="34" t="s">
        <v>143</v>
      </c>
      <c r="F165" s="31" t="s">
        <v>124</v>
      </c>
      <c r="G165" s="31" t="s">
        <v>128</v>
      </c>
      <c r="H165" s="35">
        <v>2277780</v>
      </c>
    </row>
    <row r="166" spans="2:8" x14ac:dyDescent="0.3">
      <c r="B166" s="31">
        <v>159</v>
      </c>
      <c r="C166" s="32">
        <v>43504</v>
      </c>
      <c r="D166" s="33" t="s">
        <v>154</v>
      </c>
      <c r="E166" s="34" t="s">
        <v>155</v>
      </c>
      <c r="F166" s="31" t="s">
        <v>147</v>
      </c>
      <c r="G166" s="31" t="s">
        <v>136</v>
      </c>
      <c r="H166" s="35">
        <v>1992880</v>
      </c>
    </row>
    <row r="167" spans="2:8" x14ac:dyDescent="0.3">
      <c r="B167" s="31">
        <v>160</v>
      </c>
      <c r="C167" s="32">
        <v>43526</v>
      </c>
      <c r="D167" s="33" t="s">
        <v>137</v>
      </c>
      <c r="E167" s="34" t="s">
        <v>138</v>
      </c>
      <c r="F167" s="31" t="s">
        <v>135</v>
      </c>
      <c r="G167" s="31" t="s">
        <v>132</v>
      </c>
      <c r="H167" s="35">
        <v>17495950</v>
      </c>
    </row>
    <row r="168" spans="2:8" x14ac:dyDescent="0.3">
      <c r="B168" s="31">
        <v>161</v>
      </c>
      <c r="C168" s="32">
        <v>43512</v>
      </c>
      <c r="D168" s="33" t="s">
        <v>156</v>
      </c>
      <c r="E168" s="34" t="s">
        <v>157</v>
      </c>
      <c r="F168" s="31" t="s">
        <v>135</v>
      </c>
      <c r="G168" s="31" t="s">
        <v>136</v>
      </c>
      <c r="H168" s="35">
        <v>14495950</v>
      </c>
    </row>
    <row r="169" spans="2:8" x14ac:dyDescent="0.3">
      <c r="B169" s="31">
        <v>162</v>
      </c>
      <c r="C169" s="32">
        <v>43513</v>
      </c>
      <c r="D169" s="33" t="s">
        <v>137</v>
      </c>
      <c r="E169" s="34" t="s">
        <v>138</v>
      </c>
      <c r="F169" s="31" t="s">
        <v>124</v>
      </c>
      <c r="G169" s="31" t="s">
        <v>141</v>
      </c>
      <c r="H169" s="35">
        <v>10495950</v>
      </c>
    </row>
    <row r="170" spans="2:8" x14ac:dyDescent="0.3">
      <c r="B170" s="31">
        <v>163</v>
      </c>
      <c r="C170" s="32">
        <v>43499</v>
      </c>
      <c r="D170" s="33" t="s">
        <v>129</v>
      </c>
      <c r="E170" s="34" t="s">
        <v>130</v>
      </c>
      <c r="F170" s="31" t="s">
        <v>131</v>
      </c>
      <c r="G170" s="31" t="s">
        <v>128</v>
      </c>
      <c r="H170" s="35">
        <v>5495950</v>
      </c>
    </row>
    <row r="171" spans="2:8" x14ac:dyDescent="0.3">
      <c r="B171" s="31">
        <v>164</v>
      </c>
      <c r="C171" s="32">
        <v>43521</v>
      </c>
      <c r="D171" s="33" t="s">
        <v>137</v>
      </c>
      <c r="E171" s="34" t="s">
        <v>138</v>
      </c>
      <c r="F171" s="31" t="s">
        <v>131</v>
      </c>
      <c r="G171" s="31" t="s">
        <v>158</v>
      </c>
      <c r="H171" s="35">
        <v>59670950</v>
      </c>
    </row>
    <row r="172" spans="2:8" x14ac:dyDescent="0.3">
      <c r="B172" s="31">
        <v>165</v>
      </c>
      <c r="C172" s="32">
        <v>43541</v>
      </c>
      <c r="D172" s="33" t="s">
        <v>165</v>
      </c>
      <c r="E172" s="34" t="s">
        <v>166</v>
      </c>
      <c r="F172" s="31" t="s">
        <v>131</v>
      </c>
      <c r="G172" s="31" t="s">
        <v>136</v>
      </c>
      <c r="H172" s="35">
        <v>37670950</v>
      </c>
    </row>
    <row r="173" spans="2:8" x14ac:dyDescent="0.3">
      <c r="B173" s="31">
        <v>166</v>
      </c>
      <c r="C173" s="32">
        <v>43527</v>
      </c>
      <c r="D173" s="33" t="s">
        <v>148</v>
      </c>
      <c r="E173" s="34" t="s">
        <v>149</v>
      </c>
      <c r="F173" s="31" t="s">
        <v>124</v>
      </c>
      <c r="G173" s="31" t="s">
        <v>128</v>
      </c>
      <c r="H173" s="35">
        <v>25070950</v>
      </c>
    </row>
    <row r="174" spans="2:8" x14ac:dyDescent="0.3">
      <c r="B174" s="31">
        <v>167</v>
      </c>
      <c r="C174" s="32">
        <v>43535</v>
      </c>
      <c r="D174" s="33" t="s">
        <v>156</v>
      </c>
      <c r="E174" s="34" t="s">
        <v>157</v>
      </c>
      <c r="F174" s="31" t="s">
        <v>147</v>
      </c>
      <c r="G174" s="31" t="s">
        <v>136</v>
      </c>
      <c r="H174" s="35">
        <v>12618950</v>
      </c>
    </row>
    <row r="175" spans="2:8" x14ac:dyDescent="0.3">
      <c r="B175" s="31">
        <v>168</v>
      </c>
      <c r="C175" s="32">
        <v>43539</v>
      </c>
      <c r="D175" s="33" t="s">
        <v>133</v>
      </c>
      <c r="E175" s="34" t="s">
        <v>134</v>
      </c>
      <c r="F175" s="31" t="s">
        <v>144</v>
      </c>
      <c r="G175" s="31" t="s">
        <v>158</v>
      </c>
      <c r="H175" s="35">
        <v>12473950</v>
      </c>
    </row>
    <row r="176" spans="2:8" x14ac:dyDescent="0.3">
      <c r="B176" s="31">
        <v>169</v>
      </c>
      <c r="C176" s="32">
        <v>43545</v>
      </c>
      <c r="D176" s="33" t="s">
        <v>159</v>
      </c>
      <c r="E176" s="34" t="s">
        <v>160</v>
      </c>
      <c r="F176" s="31" t="s">
        <v>144</v>
      </c>
      <c r="G176" s="31" t="s">
        <v>136</v>
      </c>
      <c r="H176" s="35">
        <v>7387550</v>
      </c>
    </row>
    <row r="177" spans="2:8" x14ac:dyDescent="0.3">
      <c r="B177" s="31">
        <v>170</v>
      </c>
      <c r="C177" s="32">
        <v>43548</v>
      </c>
      <c r="D177" s="33" t="s">
        <v>133</v>
      </c>
      <c r="E177" s="34" t="s">
        <v>134</v>
      </c>
      <c r="F177" s="31" t="s">
        <v>124</v>
      </c>
      <c r="G177" s="31" t="s">
        <v>141</v>
      </c>
      <c r="H177" s="35">
        <v>5212180</v>
      </c>
    </row>
    <row r="178" spans="2:8" x14ac:dyDescent="0.3">
      <c r="B178" s="31">
        <v>171</v>
      </c>
      <c r="C178" s="32">
        <v>43545</v>
      </c>
      <c r="D178" s="33" t="s">
        <v>139</v>
      </c>
      <c r="E178" s="34" t="s">
        <v>140</v>
      </c>
      <c r="F178" s="31" t="s">
        <v>135</v>
      </c>
      <c r="G178" s="31" t="s">
        <v>158</v>
      </c>
      <c r="H178" s="35">
        <v>58485180</v>
      </c>
    </row>
    <row r="179" spans="2:8" x14ac:dyDescent="0.3">
      <c r="B179" s="31">
        <v>172</v>
      </c>
      <c r="C179" s="32">
        <v>43527</v>
      </c>
      <c r="D179" s="33" t="s">
        <v>142</v>
      </c>
      <c r="E179" s="34" t="s">
        <v>143</v>
      </c>
      <c r="F179" s="31" t="s">
        <v>124</v>
      </c>
      <c r="G179" s="31" t="s">
        <v>158</v>
      </c>
      <c r="H179" s="35">
        <v>55485180</v>
      </c>
    </row>
    <row r="180" spans="2:8" x14ac:dyDescent="0.3">
      <c r="B180" s="31">
        <v>173</v>
      </c>
      <c r="C180" s="32">
        <v>43552</v>
      </c>
      <c r="D180" s="33" t="s">
        <v>137</v>
      </c>
      <c r="E180" s="34" t="s">
        <v>138</v>
      </c>
      <c r="F180" s="31" t="s">
        <v>131</v>
      </c>
      <c r="G180" s="31" t="s">
        <v>158</v>
      </c>
      <c r="H180" s="35">
        <v>51485180</v>
      </c>
    </row>
    <row r="181" spans="2:8" x14ac:dyDescent="0.3">
      <c r="B181" s="31">
        <v>174</v>
      </c>
      <c r="C181" s="32">
        <v>43531</v>
      </c>
      <c r="D181" s="33" t="s">
        <v>159</v>
      </c>
      <c r="E181" s="34" t="s">
        <v>160</v>
      </c>
      <c r="F181" s="31" t="s">
        <v>131</v>
      </c>
      <c r="G181" s="31" t="s">
        <v>158</v>
      </c>
      <c r="H181" s="35">
        <v>46485180</v>
      </c>
    </row>
    <row r="182" spans="2:8" x14ac:dyDescent="0.3">
      <c r="B182" s="31">
        <v>175</v>
      </c>
      <c r="C182" s="32">
        <v>43531</v>
      </c>
      <c r="D182" s="33" t="s">
        <v>133</v>
      </c>
      <c r="E182" s="34" t="s">
        <v>134</v>
      </c>
      <c r="F182" s="31" t="s">
        <v>147</v>
      </c>
      <c r="G182" s="31" t="s">
        <v>141</v>
      </c>
      <c r="H182" s="35">
        <v>46390180</v>
      </c>
    </row>
    <row r="183" spans="2:8" x14ac:dyDescent="0.3">
      <c r="B183" s="31">
        <v>176</v>
      </c>
      <c r="C183" s="32">
        <v>43535</v>
      </c>
      <c r="D183" s="33" t="s">
        <v>152</v>
      </c>
      <c r="E183" s="34" t="s">
        <v>153</v>
      </c>
      <c r="F183" s="31" t="s">
        <v>135</v>
      </c>
      <c r="G183" s="31" t="s">
        <v>128</v>
      </c>
      <c r="H183" s="35">
        <v>33790180</v>
      </c>
    </row>
    <row r="184" spans="2:8" x14ac:dyDescent="0.3">
      <c r="B184" s="31">
        <v>177</v>
      </c>
      <c r="C184" s="32">
        <v>43534</v>
      </c>
      <c r="D184" s="33" t="s">
        <v>142</v>
      </c>
      <c r="E184" s="34" t="s">
        <v>143</v>
      </c>
      <c r="F184" s="31" t="s">
        <v>135</v>
      </c>
      <c r="G184" s="31" t="s">
        <v>128</v>
      </c>
      <c r="H184" s="35">
        <v>25790180</v>
      </c>
    </row>
    <row r="185" spans="2:8" x14ac:dyDescent="0.3">
      <c r="B185" s="31">
        <v>178</v>
      </c>
      <c r="C185" s="32">
        <v>43546</v>
      </c>
      <c r="D185" s="33" t="s">
        <v>126</v>
      </c>
      <c r="E185" s="34" t="s">
        <v>127</v>
      </c>
      <c r="F185" s="31" t="s">
        <v>147</v>
      </c>
      <c r="G185" s="31" t="s">
        <v>158</v>
      </c>
      <c r="H185" s="35">
        <v>17045180</v>
      </c>
    </row>
    <row r="186" spans="2:8" x14ac:dyDescent="0.3">
      <c r="B186" s="31">
        <v>179</v>
      </c>
      <c r="C186" s="32">
        <v>43549</v>
      </c>
      <c r="D186" s="33" t="s">
        <v>159</v>
      </c>
      <c r="E186" s="34" t="s">
        <v>160</v>
      </c>
      <c r="F186" s="31" t="s">
        <v>147</v>
      </c>
      <c r="G186" s="31" t="s">
        <v>136</v>
      </c>
      <c r="H186" s="35">
        <v>16595180</v>
      </c>
    </row>
    <row r="187" spans="2:8" x14ac:dyDescent="0.3">
      <c r="B187" s="31">
        <v>180</v>
      </c>
      <c r="C187" s="32">
        <v>43542</v>
      </c>
      <c r="D187" s="33" t="s">
        <v>126</v>
      </c>
      <c r="E187" s="34" t="s">
        <v>127</v>
      </c>
      <c r="F187" s="31" t="s">
        <v>135</v>
      </c>
      <c r="G187" s="31" t="s">
        <v>158</v>
      </c>
      <c r="H187" s="35">
        <v>14395180</v>
      </c>
    </row>
    <row r="188" spans="2:8" x14ac:dyDescent="0.3">
      <c r="B188" s="31">
        <v>181</v>
      </c>
      <c r="C188" s="32">
        <v>43541</v>
      </c>
      <c r="D188" s="33" t="s">
        <v>142</v>
      </c>
      <c r="E188" s="34" t="s">
        <v>143</v>
      </c>
      <c r="F188" s="31" t="s">
        <v>144</v>
      </c>
      <c r="G188" s="31" t="s">
        <v>141</v>
      </c>
      <c r="H188" s="35">
        <v>11095180</v>
      </c>
    </row>
    <row r="189" spans="2:8" x14ac:dyDescent="0.3">
      <c r="B189" s="31">
        <v>182</v>
      </c>
      <c r="C189" s="32">
        <v>43548</v>
      </c>
      <c r="D189" s="33" t="s">
        <v>159</v>
      </c>
      <c r="E189" s="34" t="s">
        <v>160</v>
      </c>
      <c r="F189" s="31" t="s">
        <v>144</v>
      </c>
      <c r="G189" s="31" t="s">
        <v>132</v>
      </c>
      <c r="H189" s="35">
        <v>6008780</v>
      </c>
    </row>
    <row r="190" spans="2:8" x14ac:dyDescent="0.3">
      <c r="B190" s="31">
        <v>183</v>
      </c>
      <c r="C190" s="32">
        <v>43539</v>
      </c>
      <c r="D190" s="33" t="s">
        <v>129</v>
      </c>
      <c r="E190" s="34" t="s">
        <v>130</v>
      </c>
      <c r="F190" s="31" t="s">
        <v>147</v>
      </c>
      <c r="G190" s="31" t="s">
        <v>136</v>
      </c>
      <c r="H190" s="35">
        <v>4034810</v>
      </c>
    </row>
    <row r="191" spans="2:8" x14ac:dyDescent="0.3">
      <c r="B191" s="31">
        <v>184</v>
      </c>
      <c r="C191" s="32">
        <v>43540</v>
      </c>
      <c r="D191" s="33" t="s">
        <v>137</v>
      </c>
      <c r="E191" s="34" t="s">
        <v>138</v>
      </c>
      <c r="F191" s="31" t="s">
        <v>124</v>
      </c>
      <c r="G191" s="31" t="s">
        <v>125</v>
      </c>
      <c r="H191" s="35">
        <v>53919810</v>
      </c>
    </row>
    <row r="192" spans="2:8" x14ac:dyDescent="0.3">
      <c r="B192" s="31">
        <v>185</v>
      </c>
      <c r="C192" s="32">
        <v>43527</v>
      </c>
      <c r="D192" s="33" t="s">
        <v>137</v>
      </c>
      <c r="E192" s="34" t="s">
        <v>138</v>
      </c>
      <c r="F192" s="31" t="s">
        <v>135</v>
      </c>
      <c r="G192" s="31" t="s">
        <v>128</v>
      </c>
      <c r="H192" s="35">
        <v>50919810</v>
      </c>
    </row>
    <row r="193" spans="2:8" x14ac:dyDescent="0.3">
      <c r="B193" s="31">
        <v>186</v>
      </c>
      <c r="C193" s="32">
        <v>43549</v>
      </c>
      <c r="D193" s="33" t="s">
        <v>165</v>
      </c>
      <c r="E193" s="34" t="s">
        <v>166</v>
      </c>
      <c r="F193" s="31" t="s">
        <v>135</v>
      </c>
      <c r="G193" s="31" t="s">
        <v>125</v>
      </c>
      <c r="H193" s="35">
        <v>46919810</v>
      </c>
    </row>
    <row r="194" spans="2:8" x14ac:dyDescent="0.3">
      <c r="B194" s="31">
        <v>187</v>
      </c>
      <c r="C194" s="32">
        <v>43527</v>
      </c>
      <c r="D194" s="33" t="s">
        <v>148</v>
      </c>
      <c r="E194" s="34" t="s">
        <v>149</v>
      </c>
      <c r="F194" s="31" t="s">
        <v>147</v>
      </c>
      <c r="G194" s="31" t="s">
        <v>158</v>
      </c>
      <c r="H194" s="35">
        <v>41919810</v>
      </c>
    </row>
    <row r="195" spans="2:8" x14ac:dyDescent="0.3">
      <c r="B195" s="31">
        <v>188</v>
      </c>
      <c r="C195" s="32">
        <v>43526</v>
      </c>
      <c r="D195" s="33" t="s">
        <v>152</v>
      </c>
      <c r="E195" s="34" t="s">
        <v>153</v>
      </c>
      <c r="F195" s="31" t="s">
        <v>147</v>
      </c>
      <c r="G195" s="31" t="s">
        <v>141</v>
      </c>
      <c r="H195" s="35">
        <v>29319810</v>
      </c>
    </row>
    <row r="196" spans="2:8" x14ac:dyDescent="0.3">
      <c r="B196" s="31">
        <v>189</v>
      </c>
      <c r="C196" s="32">
        <v>43528</v>
      </c>
      <c r="D196" s="33" t="s">
        <v>161</v>
      </c>
      <c r="E196" s="34" t="s">
        <v>162</v>
      </c>
      <c r="F196" s="31" t="s">
        <v>147</v>
      </c>
      <c r="G196" s="31" t="s">
        <v>125</v>
      </c>
      <c r="H196" s="35">
        <v>29269810</v>
      </c>
    </row>
    <row r="197" spans="2:8" x14ac:dyDescent="0.3">
      <c r="B197" s="31">
        <v>190</v>
      </c>
      <c r="C197" s="32">
        <v>43552</v>
      </c>
      <c r="D197" s="33" t="s">
        <v>167</v>
      </c>
      <c r="E197" s="34" t="s">
        <v>168</v>
      </c>
      <c r="F197" s="31" t="s">
        <v>147</v>
      </c>
      <c r="G197" s="31" t="s">
        <v>158</v>
      </c>
      <c r="H197" s="35">
        <v>28919810</v>
      </c>
    </row>
    <row r="198" spans="2:8" x14ac:dyDescent="0.3">
      <c r="B198" s="31">
        <v>191</v>
      </c>
      <c r="C198" s="32">
        <v>43553</v>
      </c>
      <c r="D198" s="33" t="s">
        <v>129</v>
      </c>
      <c r="E198" s="34" t="s">
        <v>130</v>
      </c>
      <c r="F198" s="31" t="s">
        <v>147</v>
      </c>
      <c r="G198" s="31" t="s">
        <v>132</v>
      </c>
      <c r="H198" s="35">
        <v>27819810</v>
      </c>
    </row>
    <row r="199" spans="2:8" x14ac:dyDescent="0.3">
      <c r="B199" s="31">
        <v>192</v>
      </c>
      <c r="C199" s="32">
        <v>43547</v>
      </c>
      <c r="D199" s="33" t="s">
        <v>152</v>
      </c>
      <c r="E199" s="34" t="s">
        <v>153</v>
      </c>
      <c r="F199" s="31" t="s">
        <v>131</v>
      </c>
      <c r="G199" s="31" t="s">
        <v>141</v>
      </c>
      <c r="H199" s="35">
        <v>25069810</v>
      </c>
    </row>
    <row r="200" spans="2:8" x14ac:dyDescent="0.3">
      <c r="B200" s="31">
        <v>193</v>
      </c>
      <c r="C200" s="32">
        <v>43535</v>
      </c>
      <c r="D200" s="33" t="s">
        <v>133</v>
      </c>
      <c r="E200" s="34" t="s">
        <v>134</v>
      </c>
      <c r="F200" s="31" t="s">
        <v>147</v>
      </c>
      <c r="G200" s="31" t="s">
        <v>158</v>
      </c>
      <c r="H200" s="35">
        <v>23177020</v>
      </c>
    </row>
    <row r="201" spans="2:8" x14ac:dyDescent="0.3">
      <c r="B201" s="31">
        <v>194</v>
      </c>
      <c r="C201" s="32">
        <v>43525</v>
      </c>
      <c r="D201" s="33" t="s">
        <v>150</v>
      </c>
      <c r="E201" s="34" t="s">
        <v>151</v>
      </c>
      <c r="F201" s="31" t="s">
        <v>131</v>
      </c>
      <c r="G201" s="31" t="s">
        <v>136</v>
      </c>
      <c r="H201" s="35">
        <v>22132020</v>
      </c>
    </row>
    <row r="202" spans="2:8" x14ac:dyDescent="0.3">
      <c r="B202" s="31">
        <v>195</v>
      </c>
      <c r="C202" s="32">
        <v>43528</v>
      </c>
      <c r="D202" s="33" t="s">
        <v>133</v>
      </c>
      <c r="E202" s="34" t="s">
        <v>134</v>
      </c>
      <c r="F202" s="31" t="s">
        <v>135</v>
      </c>
      <c r="G202" s="31" t="s">
        <v>128</v>
      </c>
      <c r="H202" s="35">
        <v>61050020</v>
      </c>
    </row>
    <row r="203" spans="2:8" x14ac:dyDescent="0.3">
      <c r="B203" s="31">
        <v>196</v>
      </c>
      <c r="C203" s="32">
        <v>43541</v>
      </c>
      <c r="D203" s="33" t="s">
        <v>133</v>
      </c>
      <c r="E203" s="34" t="s">
        <v>134</v>
      </c>
      <c r="F203" s="31" t="s">
        <v>147</v>
      </c>
      <c r="G203" s="31" t="s">
        <v>141</v>
      </c>
      <c r="H203" s="35">
        <v>58050020</v>
      </c>
    </row>
    <row r="204" spans="2:8" x14ac:dyDescent="0.3">
      <c r="B204" s="31">
        <v>197</v>
      </c>
      <c r="C204" s="32">
        <v>43548</v>
      </c>
      <c r="D204" s="33" t="s">
        <v>154</v>
      </c>
      <c r="E204" s="34" t="s">
        <v>155</v>
      </c>
      <c r="F204" s="31" t="s">
        <v>135</v>
      </c>
      <c r="G204" s="31" t="s">
        <v>132</v>
      </c>
      <c r="H204" s="35">
        <v>54050020</v>
      </c>
    </row>
    <row r="205" spans="2:8" x14ac:dyDescent="0.3">
      <c r="B205" s="31">
        <v>198</v>
      </c>
      <c r="C205" s="32">
        <v>43548</v>
      </c>
      <c r="D205" s="33" t="s">
        <v>145</v>
      </c>
      <c r="E205" s="34" t="s">
        <v>146</v>
      </c>
      <c r="F205" s="31" t="s">
        <v>144</v>
      </c>
      <c r="G205" s="31" t="s">
        <v>158</v>
      </c>
      <c r="H205" s="35">
        <v>49050020</v>
      </c>
    </row>
    <row r="206" spans="2:8" x14ac:dyDescent="0.3">
      <c r="B206" s="31">
        <v>199</v>
      </c>
      <c r="C206" s="32">
        <v>43555</v>
      </c>
      <c r="D206" s="33" t="s">
        <v>122</v>
      </c>
      <c r="E206" s="34" t="s">
        <v>123</v>
      </c>
      <c r="F206" s="31" t="s">
        <v>147</v>
      </c>
      <c r="G206" s="31" t="s">
        <v>132</v>
      </c>
      <c r="H206" s="35">
        <v>36450020</v>
      </c>
    </row>
    <row r="207" spans="2:8" x14ac:dyDescent="0.3">
      <c r="B207" s="31">
        <v>200</v>
      </c>
      <c r="C207" s="32">
        <v>43548</v>
      </c>
      <c r="D207" s="33" t="s">
        <v>163</v>
      </c>
      <c r="E207" s="34" t="s">
        <v>164</v>
      </c>
      <c r="F207" s="31" t="s">
        <v>135</v>
      </c>
      <c r="G207" s="31" t="s">
        <v>132</v>
      </c>
      <c r="H207" s="35">
        <v>35700020</v>
      </c>
    </row>
    <row r="208" spans="2:8" x14ac:dyDescent="0.3">
      <c r="B208" s="31">
        <v>201</v>
      </c>
      <c r="C208" s="32">
        <v>43527</v>
      </c>
      <c r="D208" s="33" t="s">
        <v>129</v>
      </c>
      <c r="E208" s="34" t="s">
        <v>130</v>
      </c>
      <c r="F208" s="31" t="s">
        <v>135</v>
      </c>
      <c r="G208" s="31" t="s">
        <v>132</v>
      </c>
      <c r="H208" s="35">
        <v>34050020</v>
      </c>
    </row>
    <row r="209" spans="2:8" x14ac:dyDescent="0.3">
      <c r="B209" s="31">
        <v>202</v>
      </c>
      <c r="C209" s="32">
        <v>43527</v>
      </c>
      <c r="D209" s="33" t="s">
        <v>133</v>
      </c>
      <c r="E209" s="34" t="s">
        <v>134</v>
      </c>
      <c r="F209" s="31" t="s">
        <v>144</v>
      </c>
      <c r="G209" s="31" t="s">
        <v>141</v>
      </c>
      <c r="H209" s="35">
        <v>30750020</v>
      </c>
    </row>
    <row r="210" spans="2:8" x14ac:dyDescent="0.3">
      <c r="B210" s="31">
        <v>203</v>
      </c>
      <c r="C210" s="32">
        <v>43555</v>
      </c>
      <c r="D210" s="33" t="s">
        <v>165</v>
      </c>
      <c r="E210" s="34" t="s">
        <v>166</v>
      </c>
      <c r="F210" s="31" t="s">
        <v>124</v>
      </c>
      <c r="G210" s="31" t="s">
        <v>128</v>
      </c>
      <c r="H210" s="35">
        <v>26161260</v>
      </c>
    </row>
    <row r="211" spans="2:8" x14ac:dyDescent="0.3">
      <c r="B211" s="31">
        <v>204</v>
      </c>
      <c r="C211" s="32">
        <v>43552</v>
      </c>
      <c r="D211" s="33" t="s">
        <v>167</v>
      </c>
      <c r="E211" s="34" t="s">
        <v>168</v>
      </c>
      <c r="F211" s="31" t="s">
        <v>135</v>
      </c>
      <c r="G211" s="31" t="s">
        <v>158</v>
      </c>
      <c r="H211" s="35">
        <v>24324420</v>
      </c>
    </row>
    <row r="212" spans="2:8" x14ac:dyDescent="0.3">
      <c r="B212" s="31">
        <v>205</v>
      </c>
      <c r="C212" s="32">
        <v>43527</v>
      </c>
      <c r="D212" s="33" t="s">
        <v>129</v>
      </c>
      <c r="E212" s="34" t="s">
        <v>130</v>
      </c>
      <c r="F212" s="31" t="s">
        <v>147</v>
      </c>
      <c r="G212" s="31" t="s">
        <v>141</v>
      </c>
      <c r="H212" s="35">
        <v>75496420</v>
      </c>
    </row>
    <row r="213" spans="2:8" x14ac:dyDescent="0.3">
      <c r="B213" s="31">
        <v>206</v>
      </c>
      <c r="C213" s="32">
        <v>43555</v>
      </c>
      <c r="D213" s="33" t="s">
        <v>152</v>
      </c>
      <c r="E213" s="34" t="s">
        <v>153</v>
      </c>
      <c r="F213" s="31" t="s">
        <v>135</v>
      </c>
      <c r="G213" s="31" t="s">
        <v>132</v>
      </c>
      <c r="H213" s="35">
        <v>72496420</v>
      </c>
    </row>
    <row r="214" spans="2:8" x14ac:dyDescent="0.3">
      <c r="B214" s="31">
        <v>207</v>
      </c>
      <c r="C214" s="32">
        <v>43548</v>
      </c>
      <c r="D214" s="33" t="s">
        <v>145</v>
      </c>
      <c r="E214" s="34" t="s">
        <v>146</v>
      </c>
      <c r="F214" s="31" t="s">
        <v>144</v>
      </c>
      <c r="G214" s="31" t="s">
        <v>141</v>
      </c>
      <c r="H214" s="35">
        <v>68496420</v>
      </c>
    </row>
    <row r="215" spans="2:8" x14ac:dyDescent="0.3">
      <c r="B215" s="31">
        <v>208</v>
      </c>
      <c r="C215" s="32">
        <v>43545</v>
      </c>
      <c r="D215" s="33" t="s">
        <v>167</v>
      </c>
      <c r="E215" s="34" t="s">
        <v>168</v>
      </c>
      <c r="F215" s="31" t="s">
        <v>147</v>
      </c>
      <c r="G215" s="31" t="s">
        <v>141</v>
      </c>
      <c r="H215" s="35">
        <v>63496420</v>
      </c>
    </row>
    <row r="216" spans="2:8" x14ac:dyDescent="0.3">
      <c r="B216" s="31">
        <v>209</v>
      </c>
      <c r="C216" s="32">
        <v>43547</v>
      </c>
      <c r="D216" s="33" t="s">
        <v>137</v>
      </c>
      <c r="E216" s="34" t="s">
        <v>138</v>
      </c>
      <c r="F216" s="31" t="s">
        <v>147</v>
      </c>
      <c r="G216" s="31" t="s">
        <v>141</v>
      </c>
      <c r="H216" s="35">
        <v>41466430</v>
      </c>
    </row>
    <row r="217" spans="2:8" x14ac:dyDescent="0.3">
      <c r="B217" s="31">
        <v>210</v>
      </c>
      <c r="C217" s="32">
        <v>43542</v>
      </c>
      <c r="D217" s="33" t="s">
        <v>152</v>
      </c>
      <c r="E217" s="34" t="s">
        <v>153</v>
      </c>
      <c r="F217" s="31" t="s">
        <v>131</v>
      </c>
      <c r="G217" s="31" t="s">
        <v>158</v>
      </c>
      <c r="H217" s="35">
        <v>41284430</v>
      </c>
    </row>
    <row r="218" spans="2:8" x14ac:dyDescent="0.3">
      <c r="B218" s="31">
        <v>211</v>
      </c>
      <c r="C218" s="32">
        <v>43542</v>
      </c>
      <c r="D218" s="33" t="s">
        <v>137</v>
      </c>
      <c r="E218" s="34" t="s">
        <v>138</v>
      </c>
      <c r="F218" s="31" t="s">
        <v>147</v>
      </c>
      <c r="G218" s="31" t="s">
        <v>128</v>
      </c>
      <c r="H218" s="35">
        <v>40984430</v>
      </c>
    </row>
    <row r="219" spans="2:8" x14ac:dyDescent="0.3">
      <c r="B219" s="31">
        <v>212</v>
      </c>
      <c r="C219" s="32">
        <v>43528</v>
      </c>
      <c r="D219" s="33" t="s">
        <v>150</v>
      </c>
      <c r="E219" s="34" t="s">
        <v>151</v>
      </c>
      <c r="F219" s="31" t="s">
        <v>147</v>
      </c>
      <c r="G219" s="31" t="s">
        <v>136</v>
      </c>
      <c r="H219" s="35">
        <v>38784430</v>
      </c>
    </row>
    <row r="220" spans="2:8" x14ac:dyDescent="0.3">
      <c r="B220" s="31">
        <v>213</v>
      </c>
      <c r="C220" s="32">
        <v>43542</v>
      </c>
      <c r="D220" s="33" t="s">
        <v>156</v>
      </c>
      <c r="E220" s="34" t="s">
        <v>157</v>
      </c>
      <c r="F220" s="31" t="s">
        <v>124</v>
      </c>
      <c r="G220" s="31" t="s">
        <v>136</v>
      </c>
      <c r="H220" s="35">
        <v>37134430</v>
      </c>
    </row>
    <row r="221" spans="2:8" x14ac:dyDescent="0.3">
      <c r="B221" s="31">
        <v>214</v>
      </c>
      <c r="C221" s="32">
        <v>43539</v>
      </c>
      <c r="D221" s="33" t="s">
        <v>152</v>
      </c>
      <c r="E221" s="34" t="s">
        <v>153</v>
      </c>
      <c r="F221" s="31" t="s">
        <v>124</v>
      </c>
      <c r="G221" s="31" t="s">
        <v>132</v>
      </c>
      <c r="H221" s="35">
        <v>36634430</v>
      </c>
    </row>
    <row r="222" spans="2:8" x14ac:dyDescent="0.3">
      <c r="B222" s="31">
        <v>215</v>
      </c>
      <c r="C222" s="32">
        <v>43545</v>
      </c>
      <c r="D222" s="33" t="s">
        <v>165</v>
      </c>
      <c r="E222" s="34" t="s">
        <v>166</v>
      </c>
      <c r="F222" s="31" t="s">
        <v>131</v>
      </c>
      <c r="G222" s="31" t="s">
        <v>158</v>
      </c>
      <c r="H222" s="35">
        <v>3163440</v>
      </c>
    </row>
    <row r="223" spans="2:8" x14ac:dyDescent="0.3">
      <c r="B223" s="31">
        <v>216</v>
      </c>
      <c r="C223" s="32">
        <v>43535</v>
      </c>
      <c r="D223" s="33" t="s">
        <v>142</v>
      </c>
      <c r="E223" s="34" t="s">
        <v>143</v>
      </c>
      <c r="F223" s="31" t="s">
        <v>147</v>
      </c>
      <c r="G223" s="31" t="s">
        <v>136</v>
      </c>
      <c r="H223" s="35">
        <v>1903440</v>
      </c>
    </row>
    <row r="224" spans="2:8" x14ac:dyDescent="0.3">
      <c r="B224" s="31">
        <v>217</v>
      </c>
      <c r="C224" s="32">
        <v>43548</v>
      </c>
      <c r="D224" s="33" t="s">
        <v>137</v>
      </c>
      <c r="E224" s="34" t="s">
        <v>138</v>
      </c>
      <c r="F224" s="31" t="s">
        <v>144</v>
      </c>
      <c r="G224" s="31" t="s">
        <v>141</v>
      </c>
      <c r="H224" s="35">
        <v>1731980</v>
      </c>
    </row>
    <row r="225" spans="2:8" x14ac:dyDescent="0.3">
      <c r="B225" s="31">
        <v>218</v>
      </c>
      <c r="C225" s="32">
        <v>43533</v>
      </c>
      <c r="D225" s="33" t="s">
        <v>129</v>
      </c>
      <c r="E225" s="34" t="s">
        <v>130</v>
      </c>
      <c r="F225" s="31" t="s">
        <v>135</v>
      </c>
      <c r="G225" s="31" t="s">
        <v>128</v>
      </c>
      <c r="H225" s="35">
        <v>1223340</v>
      </c>
    </row>
    <row r="226" spans="2:8" x14ac:dyDescent="0.3">
      <c r="B226" s="31">
        <v>219</v>
      </c>
      <c r="C226" s="32">
        <v>43535</v>
      </c>
      <c r="D226" s="33" t="s">
        <v>167</v>
      </c>
      <c r="E226" s="34" t="s">
        <v>168</v>
      </c>
      <c r="F226" s="31" t="s">
        <v>135</v>
      </c>
      <c r="G226" s="31" t="s">
        <v>158</v>
      </c>
      <c r="H226" s="35">
        <v>52579180</v>
      </c>
    </row>
    <row r="227" spans="2:8" x14ac:dyDescent="0.3">
      <c r="B227" s="31">
        <v>220</v>
      </c>
      <c r="C227" s="32">
        <v>43541</v>
      </c>
      <c r="D227" s="33" t="s">
        <v>150</v>
      </c>
      <c r="E227" s="34" t="s">
        <v>151</v>
      </c>
      <c r="F227" s="31" t="s">
        <v>144</v>
      </c>
      <c r="G227" s="31" t="s">
        <v>125</v>
      </c>
      <c r="H227" s="35">
        <v>49579180</v>
      </c>
    </row>
    <row r="228" spans="2:8" x14ac:dyDescent="0.3">
      <c r="B228" s="31">
        <v>221</v>
      </c>
      <c r="C228" s="32">
        <v>43527</v>
      </c>
      <c r="D228" s="33" t="s">
        <v>152</v>
      </c>
      <c r="E228" s="34" t="s">
        <v>153</v>
      </c>
      <c r="F228" s="31" t="s">
        <v>124</v>
      </c>
      <c r="G228" s="31" t="s">
        <v>132</v>
      </c>
      <c r="H228" s="35">
        <v>45579180</v>
      </c>
    </row>
    <row r="229" spans="2:8" x14ac:dyDescent="0.3">
      <c r="B229" s="31">
        <v>222</v>
      </c>
      <c r="C229" s="32">
        <v>43527</v>
      </c>
      <c r="D229" s="33" t="s">
        <v>122</v>
      </c>
      <c r="E229" s="34" t="s">
        <v>123</v>
      </c>
      <c r="F229" s="31" t="s">
        <v>144</v>
      </c>
      <c r="G229" s="31" t="s">
        <v>158</v>
      </c>
      <c r="H229" s="35">
        <v>40579180</v>
      </c>
    </row>
    <row r="230" spans="2:8" x14ac:dyDescent="0.3">
      <c r="B230" s="31">
        <v>223</v>
      </c>
      <c r="C230" s="32">
        <v>43546</v>
      </c>
      <c r="D230" s="33" t="s">
        <v>152</v>
      </c>
      <c r="E230" s="34" t="s">
        <v>153</v>
      </c>
      <c r="F230" s="31" t="s">
        <v>135</v>
      </c>
      <c r="G230" s="31" t="s">
        <v>141</v>
      </c>
      <c r="H230" s="35">
        <v>27979180</v>
      </c>
    </row>
    <row r="231" spans="2:8" x14ac:dyDescent="0.3">
      <c r="B231" s="31">
        <v>224</v>
      </c>
      <c r="C231" s="32">
        <v>43541</v>
      </c>
      <c r="D231" s="33" t="s">
        <v>122</v>
      </c>
      <c r="E231" s="34" t="s">
        <v>123</v>
      </c>
      <c r="F231" s="31" t="s">
        <v>135</v>
      </c>
      <c r="G231" s="31" t="s">
        <v>141</v>
      </c>
      <c r="H231" s="35">
        <v>23390420</v>
      </c>
    </row>
    <row r="232" spans="2:8" x14ac:dyDescent="0.3">
      <c r="B232" s="31">
        <v>225</v>
      </c>
      <c r="C232" s="32">
        <v>43532</v>
      </c>
      <c r="D232" s="33" t="s">
        <v>150</v>
      </c>
      <c r="E232" s="34" t="s">
        <v>151</v>
      </c>
      <c r="F232" s="31" t="s">
        <v>131</v>
      </c>
      <c r="G232" s="31" t="s">
        <v>136</v>
      </c>
      <c r="H232" s="35">
        <v>21190420</v>
      </c>
    </row>
    <row r="233" spans="2:8" x14ac:dyDescent="0.3">
      <c r="B233" s="31">
        <v>226</v>
      </c>
      <c r="C233" s="32">
        <v>43545</v>
      </c>
      <c r="D233" s="33" t="s">
        <v>122</v>
      </c>
      <c r="E233" s="34" t="s">
        <v>123</v>
      </c>
      <c r="F233" s="31" t="s">
        <v>124</v>
      </c>
      <c r="G233" s="31" t="s">
        <v>158</v>
      </c>
      <c r="H233" s="35">
        <v>20890420</v>
      </c>
    </row>
    <row r="234" spans="2:8" x14ac:dyDescent="0.3">
      <c r="B234" s="31">
        <v>227</v>
      </c>
      <c r="C234" s="32">
        <v>43540</v>
      </c>
      <c r="D234" s="33" t="s">
        <v>165</v>
      </c>
      <c r="E234" s="34" t="s">
        <v>166</v>
      </c>
      <c r="F234" s="31" t="s">
        <v>147</v>
      </c>
      <c r="G234" s="31" t="s">
        <v>125</v>
      </c>
      <c r="H234" s="35">
        <v>20390420</v>
      </c>
    </row>
    <row r="235" spans="2:8" x14ac:dyDescent="0.3">
      <c r="B235" s="31">
        <v>228</v>
      </c>
      <c r="C235" s="32">
        <v>43540</v>
      </c>
      <c r="D235" s="33" t="s">
        <v>165</v>
      </c>
      <c r="E235" s="34" t="s">
        <v>166</v>
      </c>
      <c r="F235" s="31" t="s">
        <v>147</v>
      </c>
      <c r="G235" s="31" t="s">
        <v>128</v>
      </c>
      <c r="H235" s="35">
        <v>17190420</v>
      </c>
    </row>
    <row r="236" spans="2:8" x14ac:dyDescent="0.3">
      <c r="B236" s="31">
        <v>229</v>
      </c>
      <c r="C236" s="32">
        <v>43534</v>
      </c>
      <c r="D236" s="33" t="s">
        <v>129</v>
      </c>
      <c r="E236" s="34" t="s">
        <v>130</v>
      </c>
      <c r="F236" s="31" t="s">
        <v>124</v>
      </c>
      <c r="G236" s="31" t="s">
        <v>128</v>
      </c>
      <c r="H236" s="35">
        <v>1548930</v>
      </c>
    </row>
    <row r="237" spans="2:8" x14ac:dyDescent="0.3">
      <c r="B237" s="31">
        <v>230</v>
      </c>
      <c r="C237" s="32">
        <v>43554</v>
      </c>
      <c r="D237" s="33" t="s">
        <v>122</v>
      </c>
      <c r="E237" s="34" t="s">
        <v>123</v>
      </c>
      <c r="F237" s="31" t="s">
        <v>147</v>
      </c>
      <c r="G237" s="31" t="s">
        <v>136</v>
      </c>
      <c r="H237" s="35">
        <v>1444430</v>
      </c>
    </row>
    <row r="238" spans="2:8" x14ac:dyDescent="0.3">
      <c r="B238" s="31">
        <v>231</v>
      </c>
      <c r="C238" s="32">
        <v>43547</v>
      </c>
      <c r="D238" s="33" t="s">
        <v>148</v>
      </c>
      <c r="E238" s="34" t="s">
        <v>149</v>
      </c>
      <c r="F238" s="31" t="s">
        <v>124</v>
      </c>
      <c r="G238" s="31" t="s">
        <v>141</v>
      </c>
      <c r="H238" s="35">
        <v>5318630</v>
      </c>
    </row>
    <row r="239" spans="2:8" x14ac:dyDescent="0.3">
      <c r="B239" s="31">
        <v>232</v>
      </c>
      <c r="C239" s="32">
        <v>43528</v>
      </c>
      <c r="D239" s="33" t="s">
        <v>163</v>
      </c>
      <c r="E239" s="34" t="s">
        <v>164</v>
      </c>
      <c r="F239" s="31" t="s">
        <v>131</v>
      </c>
      <c r="G239" s="31" t="s">
        <v>136</v>
      </c>
      <c r="H239" s="35">
        <v>5018630</v>
      </c>
    </row>
    <row r="240" spans="2:8" x14ac:dyDescent="0.3">
      <c r="B240" s="31">
        <v>233</v>
      </c>
      <c r="C240" s="32">
        <v>43542</v>
      </c>
      <c r="D240" s="33" t="s">
        <v>148</v>
      </c>
      <c r="E240" s="34" t="s">
        <v>149</v>
      </c>
      <c r="F240" s="31" t="s">
        <v>144</v>
      </c>
      <c r="G240" s="31" t="s">
        <v>141</v>
      </c>
      <c r="H240" s="35">
        <v>4618630</v>
      </c>
    </row>
    <row r="241" spans="2:8" x14ac:dyDescent="0.3">
      <c r="B241" s="31">
        <v>234</v>
      </c>
      <c r="C241" s="32">
        <v>43541</v>
      </c>
      <c r="D241" s="33" t="s">
        <v>139</v>
      </c>
      <c r="E241" s="34" t="s">
        <v>140</v>
      </c>
      <c r="F241" s="31" t="s">
        <v>135</v>
      </c>
      <c r="G241" s="31" t="s">
        <v>158</v>
      </c>
      <c r="H241" s="35">
        <v>4118630</v>
      </c>
    </row>
    <row r="242" spans="2:8" x14ac:dyDescent="0.3">
      <c r="B242" s="31">
        <v>235</v>
      </c>
      <c r="C242" s="32">
        <v>43545</v>
      </c>
      <c r="D242" s="33" t="s">
        <v>154</v>
      </c>
      <c r="E242" s="34" t="s">
        <v>155</v>
      </c>
      <c r="F242" s="31" t="s">
        <v>124</v>
      </c>
      <c r="G242" s="31" t="s">
        <v>141</v>
      </c>
      <c r="H242" s="35">
        <v>2858630</v>
      </c>
    </row>
    <row r="243" spans="2:8" x14ac:dyDescent="0.3">
      <c r="B243" s="31">
        <v>236</v>
      </c>
      <c r="C243" s="32">
        <v>43528</v>
      </c>
      <c r="D243" s="33" t="s">
        <v>137</v>
      </c>
      <c r="E243" s="34" t="s">
        <v>138</v>
      </c>
      <c r="F243" s="31" t="s">
        <v>144</v>
      </c>
      <c r="G243" s="31" t="s">
        <v>125</v>
      </c>
      <c r="H243" s="35">
        <v>2748630</v>
      </c>
    </row>
    <row r="244" spans="2:8" x14ac:dyDescent="0.3">
      <c r="B244" s="31">
        <v>237</v>
      </c>
      <c r="C244" s="32">
        <v>43552</v>
      </c>
      <c r="D244" s="33" t="s">
        <v>161</v>
      </c>
      <c r="E244" s="34" t="s">
        <v>162</v>
      </c>
      <c r="F244" s="31" t="s">
        <v>131</v>
      </c>
      <c r="G244" s="31" t="s">
        <v>141</v>
      </c>
      <c r="H244" s="35">
        <v>2718630</v>
      </c>
    </row>
    <row r="245" spans="2:8" x14ac:dyDescent="0.3">
      <c r="B245" s="31">
        <v>238</v>
      </c>
      <c r="C245" s="32">
        <v>43549</v>
      </c>
      <c r="D245" s="33" t="s">
        <v>150</v>
      </c>
      <c r="E245" s="34" t="s">
        <v>151</v>
      </c>
      <c r="F245" s="31" t="s">
        <v>131</v>
      </c>
      <c r="G245" s="31" t="s">
        <v>132</v>
      </c>
      <c r="H245" s="35">
        <v>2688630</v>
      </c>
    </row>
    <row r="246" spans="2:8" x14ac:dyDescent="0.3">
      <c r="B246" s="31">
        <v>239</v>
      </c>
      <c r="C246" s="32">
        <v>43539</v>
      </c>
      <c r="D246" s="33" t="s">
        <v>156</v>
      </c>
      <c r="E246" s="34" t="s">
        <v>157</v>
      </c>
      <c r="F246" s="31" t="s">
        <v>147</v>
      </c>
      <c r="G246" s="31" t="s">
        <v>125</v>
      </c>
      <c r="H246" s="35">
        <v>2179990</v>
      </c>
    </row>
    <row r="247" spans="2:8" x14ac:dyDescent="0.3">
      <c r="B247" s="31">
        <v>240</v>
      </c>
      <c r="C247" s="32">
        <v>43534</v>
      </c>
      <c r="D247" s="33" t="s">
        <v>145</v>
      </c>
      <c r="E247" s="34" t="s">
        <v>146</v>
      </c>
      <c r="F247" s="31" t="s">
        <v>131</v>
      </c>
      <c r="G247" s="31" t="s">
        <v>141</v>
      </c>
      <c r="H247" s="35">
        <v>1870970</v>
      </c>
    </row>
    <row r="248" spans="2:8" x14ac:dyDescent="0.3">
      <c r="B248" s="31">
        <v>241</v>
      </c>
      <c r="C248" s="32">
        <v>43552</v>
      </c>
      <c r="D248" s="33" t="s">
        <v>152</v>
      </c>
      <c r="E248" s="34" t="s">
        <v>153</v>
      </c>
      <c r="F248" s="31" t="s">
        <v>135</v>
      </c>
      <c r="G248" s="31" t="s">
        <v>136</v>
      </c>
      <c r="H248" s="35">
        <v>5682470</v>
      </c>
    </row>
    <row r="249" spans="2:8" x14ac:dyDescent="0.3">
      <c r="B249" s="31">
        <v>242</v>
      </c>
      <c r="C249" s="32">
        <v>43549</v>
      </c>
      <c r="D249" s="33" t="s">
        <v>122</v>
      </c>
      <c r="E249" s="34" t="s">
        <v>123</v>
      </c>
      <c r="F249" s="31" t="s">
        <v>124</v>
      </c>
      <c r="G249" s="31" t="s">
        <v>132</v>
      </c>
      <c r="H249" s="35">
        <v>5382470</v>
      </c>
    </row>
    <row r="250" spans="2:8" x14ac:dyDescent="0.3">
      <c r="B250" s="31">
        <v>243</v>
      </c>
      <c r="C250" s="32">
        <v>43548</v>
      </c>
      <c r="D250" s="33" t="s">
        <v>126</v>
      </c>
      <c r="E250" s="34" t="s">
        <v>127</v>
      </c>
      <c r="F250" s="31" t="s">
        <v>144</v>
      </c>
      <c r="G250" s="31" t="s">
        <v>128</v>
      </c>
      <c r="H250" s="35">
        <v>4982470</v>
      </c>
    </row>
    <row r="251" spans="2:8" x14ac:dyDescent="0.3">
      <c r="B251" s="31">
        <v>244</v>
      </c>
      <c r="C251" s="32">
        <v>43526</v>
      </c>
      <c r="D251" s="33" t="s">
        <v>122</v>
      </c>
      <c r="E251" s="34" t="s">
        <v>123</v>
      </c>
      <c r="F251" s="31" t="s">
        <v>124</v>
      </c>
      <c r="G251" s="31" t="s">
        <v>128</v>
      </c>
      <c r="H251" s="35">
        <v>4482470</v>
      </c>
    </row>
    <row r="252" spans="2:8" x14ac:dyDescent="0.3">
      <c r="B252" s="31">
        <v>245</v>
      </c>
      <c r="C252" s="32">
        <v>43546</v>
      </c>
      <c r="D252" s="33" t="s">
        <v>163</v>
      </c>
      <c r="E252" s="34" t="s">
        <v>164</v>
      </c>
      <c r="F252" s="31" t="s">
        <v>144</v>
      </c>
      <c r="G252" s="31" t="s">
        <v>158</v>
      </c>
      <c r="H252" s="35">
        <v>3222470</v>
      </c>
    </row>
    <row r="253" spans="2:8" x14ac:dyDescent="0.3">
      <c r="B253" s="31">
        <v>246</v>
      </c>
      <c r="C253" s="32">
        <v>43527</v>
      </c>
      <c r="D253" s="33" t="s">
        <v>137</v>
      </c>
      <c r="E253" s="34" t="s">
        <v>138</v>
      </c>
      <c r="F253" s="31" t="s">
        <v>144</v>
      </c>
      <c r="G253" s="31" t="s">
        <v>128</v>
      </c>
      <c r="H253" s="35">
        <v>30234710</v>
      </c>
    </row>
    <row r="254" spans="2:8" x14ac:dyDescent="0.3">
      <c r="B254" s="31">
        <v>247</v>
      </c>
      <c r="C254" s="32">
        <v>43540</v>
      </c>
      <c r="D254" s="33" t="s">
        <v>148</v>
      </c>
      <c r="E254" s="34" t="s">
        <v>149</v>
      </c>
      <c r="F254" s="31" t="s">
        <v>131</v>
      </c>
      <c r="G254" s="31" t="s">
        <v>128</v>
      </c>
      <c r="H254" s="35">
        <v>29734710</v>
      </c>
    </row>
    <row r="255" spans="2:8" x14ac:dyDescent="0.3">
      <c r="B255" s="31">
        <v>248</v>
      </c>
      <c r="C255" s="32">
        <v>43541</v>
      </c>
      <c r="D255" s="33" t="s">
        <v>161</v>
      </c>
      <c r="E255" s="34" t="s">
        <v>162</v>
      </c>
      <c r="F255" s="31" t="s">
        <v>131</v>
      </c>
      <c r="G255" s="31" t="s">
        <v>136</v>
      </c>
      <c r="H255" s="35">
        <v>29434710</v>
      </c>
    </row>
    <row r="256" spans="2:8" x14ac:dyDescent="0.3">
      <c r="B256" s="31">
        <v>249</v>
      </c>
      <c r="C256" s="32">
        <v>43542</v>
      </c>
      <c r="D256" s="33" t="s">
        <v>163</v>
      </c>
      <c r="E256" s="34" t="s">
        <v>164</v>
      </c>
      <c r="F256" s="31" t="s">
        <v>147</v>
      </c>
      <c r="G256" s="31" t="s">
        <v>128</v>
      </c>
      <c r="H256" s="35">
        <v>28884710</v>
      </c>
    </row>
    <row r="257" spans="2:8" x14ac:dyDescent="0.3">
      <c r="B257" s="31">
        <v>250</v>
      </c>
      <c r="C257" s="32">
        <v>43541</v>
      </c>
      <c r="D257" s="33" t="s">
        <v>163</v>
      </c>
      <c r="E257" s="34" t="s">
        <v>164</v>
      </c>
      <c r="F257" s="31" t="s">
        <v>131</v>
      </c>
      <c r="G257" s="31" t="s">
        <v>136</v>
      </c>
      <c r="H257" s="35">
        <v>23798310</v>
      </c>
    </row>
    <row r="258" spans="2:8" x14ac:dyDescent="0.3">
      <c r="B258" s="31">
        <v>251</v>
      </c>
      <c r="C258" s="32">
        <v>43555</v>
      </c>
      <c r="D258" s="33" t="s">
        <v>165</v>
      </c>
      <c r="E258" s="34" t="s">
        <v>166</v>
      </c>
      <c r="F258" s="31" t="s">
        <v>124</v>
      </c>
      <c r="G258" s="31" t="s">
        <v>128</v>
      </c>
      <c r="H258" s="35">
        <v>21043970</v>
      </c>
    </row>
    <row r="259" spans="2:8" x14ac:dyDescent="0.3">
      <c r="B259" s="31">
        <v>252</v>
      </c>
      <c r="C259" s="32">
        <v>43549</v>
      </c>
      <c r="D259" s="33" t="s">
        <v>165</v>
      </c>
      <c r="E259" s="34" t="s">
        <v>166</v>
      </c>
      <c r="F259" s="31" t="s">
        <v>131</v>
      </c>
      <c r="G259" s="31" t="s">
        <v>132</v>
      </c>
      <c r="H259" s="35">
        <v>46618970</v>
      </c>
    </row>
    <row r="260" spans="2:8" x14ac:dyDescent="0.3">
      <c r="B260" s="31">
        <v>253</v>
      </c>
      <c r="C260" s="32">
        <v>43535</v>
      </c>
      <c r="D260" s="33" t="s">
        <v>142</v>
      </c>
      <c r="E260" s="34" t="s">
        <v>143</v>
      </c>
      <c r="F260" s="31" t="s">
        <v>135</v>
      </c>
      <c r="G260" s="31" t="s">
        <v>158</v>
      </c>
      <c r="H260" s="35">
        <v>43618970</v>
      </c>
    </row>
    <row r="261" spans="2:8" x14ac:dyDescent="0.3">
      <c r="B261" s="31">
        <v>254</v>
      </c>
      <c r="C261" s="32">
        <v>43539</v>
      </c>
      <c r="D261" s="33" t="s">
        <v>165</v>
      </c>
      <c r="E261" s="34" t="s">
        <v>166</v>
      </c>
      <c r="F261" s="31" t="s">
        <v>131</v>
      </c>
      <c r="G261" s="31" t="s">
        <v>141</v>
      </c>
      <c r="H261" s="35">
        <v>39618970</v>
      </c>
    </row>
    <row r="262" spans="2:8" x14ac:dyDescent="0.3">
      <c r="B262" s="31">
        <v>255</v>
      </c>
      <c r="C262" s="32">
        <v>43542</v>
      </c>
      <c r="D262" s="33" t="s">
        <v>165</v>
      </c>
      <c r="E262" s="34" t="s">
        <v>166</v>
      </c>
      <c r="F262" s="31" t="s">
        <v>131</v>
      </c>
      <c r="G262" s="31" t="s">
        <v>128</v>
      </c>
      <c r="H262" s="35">
        <v>34618970</v>
      </c>
    </row>
    <row r="263" spans="2:8" x14ac:dyDescent="0.3">
      <c r="B263" s="31">
        <v>256</v>
      </c>
      <c r="C263" s="32">
        <v>43545</v>
      </c>
      <c r="D263" s="33" t="s">
        <v>129</v>
      </c>
      <c r="E263" s="34" t="s">
        <v>130</v>
      </c>
      <c r="F263" s="31" t="s">
        <v>144</v>
      </c>
      <c r="G263" s="31" t="s">
        <v>158</v>
      </c>
      <c r="H263" s="35">
        <v>22018970</v>
      </c>
    </row>
    <row r="264" spans="2:8" x14ac:dyDescent="0.3">
      <c r="B264" s="31">
        <v>257</v>
      </c>
      <c r="C264" s="32">
        <v>43554</v>
      </c>
      <c r="D264" s="33" t="s">
        <v>148</v>
      </c>
      <c r="E264" s="34" t="s">
        <v>149</v>
      </c>
      <c r="F264" s="31" t="s">
        <v>124</v>
      </c>
      <c r="G264" s="31" t="s">
        <v>141</v>
      </c>
      <c r="H264" s="35">
        <v>12018970</v>
      </c>
    </row>
    <row r="265" spans="2:8" x14ac:dyDescent="0.3">
      <c r="B265" s="31">
        <v>258</v>
      </c>
      <c r="C265" s="32">
        <v>43541</v>
      </c>
      <c r="D265" s="33" t="s">
        <v>165</v>
      </c>
      <c r="E265" s="34" t="s">
        <v>166</v>
      </c>
      <c r="F265" s="31" t="s">
        <v>147</v>
      </c>
      <c r="G265" s="31" t="s">
        <v>136</v>
      </c>
      <c r="H265" s="35">
        <v>9818970</v>
      </c>
    </row>
    <row r="266" spans="2:8" x14ac:dyDescent="0.3">
      <c r="B266" s="31">
        <v>259</v>
      </c>
      <c r="C266" s="32">
        <v>43553</v>
      </c>
      <c r="D266" s="33" t="s">
        <v>148</v>
      </c>
      <c r="E266" s="34" t="s">
        <v>149</v>
      </c>
      <c r="F266" s="31" t="s">
        <v>131</v>
      </c>
      <c r="G266" s="31" t="s">
        <v>141</v>
      </c>
      <c r="H266" s="35">
        <v>8618970</v>
      </c>
    </row>
    <row r="267" spans="2:8" x14ac:dyDescent="0.3">
      <c r="B267" s="31">
        <v>260</v>
      </c>
      <c r="C267" s="32">
        <v>43525</v>
      </c>
      <c r="D267" s="33" t="s">
        <v>156</v>
      </c>
      <c r="E267" s="34" t="s">
        <v>157</v>
      </c>
      <c r="F267" s="31" t="s">
        <v>147</v>
      </c>
      <c r="G267" s="31" t="s">
        <v>141</v>
      </c>
      <c r="H267" s="35">
        <v>7115900</v>
      </c>
    </row>
    <row r="268" spans="2:8" x14ac:dyDescent="0.3">
      <c r="B268" s="31">
        <v>261</v>
      </c>
      <c r="C268" s="32">
        <v>43534</v>
      </c>
      <c r="D268" s="33" t="s">
        <v>161</v>
      </c>
      <c r="E268" s="34" t="s">
        <v>162</v>
      </c>
      <c r="F268" s="31" t="s">
        <v>147</v>
      </c>
      <c r="G268" s="31" t="s">
        <v>141</v>
      </c>
      <c r="H268" s="35">
        <v>6070900</v>
      </c>
    </row>
    <row r="269" spans="2:8" x14ac:dyDescent="0.3">
      <c r="B269" s="31">
        <v>262</v>
      </c>
      <c r="C269" s="32">
        <v>43547</v>
      </c>
      <c r="D269" s="33" t="s">
        <v>139</v>
      </c>
      <c r="E269" s="34" t="s">
        <v>140</v>
      </c>
      <c r="F269" s="31" t="s">
        <v>131</v>
      </c>
      <c r="G269" s="31" t="s">
        <v>141</v>
      </c>
      <c r="H269" s="35">
        <v>42865900</v>
      </c>
    </row>
    <row r="270" spans="2:8" x14ac:dyDescent="0.3">
      <c r="B270" s="31">
        <v>263</v>
      </c>
      <c r="C270" s="32">
        <v>43532</v>
      </c>
      <c r="D270" s="33" t="s">
        <v>167</v>
      </c>
      <c r="E270" s="34" t="s">
        <v>168</v>
      </c>
      <c r="F270" s="31" t="s">
        <v>144</v>
      </c>
      <c r="G270" s="31" t="s">
        <v>141</v>
      </c>
      <c r="H270" s="35">
        <v>39865900</v>
      </c>
    </row>
    <row r="271" spans="2:8" x14ac:dyDescent="0.3">
      <c r="B271" s="31">
        <v>264</v>
      </c>
      <c r="C271" s="32">
        <v>43554</v>
      </c>
      <c r="D271" s="33" t="s">
        <v>126</v>
      </c>
      <c r="E271" s="34" t="s">
        <v>127</v>
      </c>
      <c r="F271" s="31" t="s">
        <v>144</v>
      </c>
      <c r="G271" s="31" t="s">
        <v>128</v>
      </c>
      <c r="H271" s="35">
        <v>35865900</v>
      </c>
    </row>
    <row r="272" spans="2:8" x14ac:dyDescent="0.3">
      <c r="B272" s="31">
        <v>265</v>
      </c>
      <c r="C272" s="32">
        <v>43535</v>
      </c>
      <c r="D272" s="33" t="s">
        <v>148</v>
      </c>
      <c r="E272" s="34" t="s">
        <v>149</v>
      </c>
      <c r="F272" s="31" t="s">
        <v>131</v>
      </c>
      <c r="G272" s="31" t="s">
        <v>125</v>
      </c>
      <c r="H272" s="35">
        <v>30865900</v>
      </c>
    </row>
    <row r="273" spans="2:8" x14ac:dyDescent="0.3">
      <c r="B273" s="31">
        <v>266</v>
      </c>
      <c r="C273" s="32">
        <v>43555</v>
      </c>
      <c r="D273" s="33" t="s">
        <v>152</v>
      </c>
      <c r="E273" s="34" t="s">
        <v>153</v>
      </c>
      <c r="F273" s="31" t="s">
        <v>131</v>
      </c>
      <c r="G273" s="31" t="s">
        <v>158</v>
      </c>
      <c r="H273" s="35">
        <v>18265900</v>
      </c>
    </row>
    <row r="274" spans="2:8" x14ac:dyDescent="0.3">
      <c r="B274" s="31">
        <v>267</v>
      </c>
      <c r="C274" s="32">
        <v>43553</v>
      </c>
      <c r="D274" s="33" t="s">
        <v>156</v>
      </c>
      <c r="E274" s="34" t="s">
        <v>157</v>
      </c>
      <c r="F274" s="31" t="s">
        <v>124</v>
      </c>
      <c r="G274" s="31" t="s">
        <v>141</v>
      </c>
      <c r="H274" s="35">
        <v>16945900</v>
      </c>
    </row>
    <row r="275" spans="2:8" x14ac:dyDescent="0.3">
      <c r="B275" s="31">
        <v>268</v>
      </c>
      <c r="C275" s="32">
        <v>43541</v>
      </c>
      <c r="D275" s="33" t="s">
        <v>122</v>
      </c>
      <c r="E275" s="34" t="s">
        <v>123</v>
      </c>
      <c r="F275" s="31" t="s">
        <v>147</v>
      </c>
      <c r="G275" s="31" t="s">
        <v>125</v>
      </c>
      <c r="H275" s="35">
        <v>16245900</v>
      </c>
    </row>
    <row r="276" spans="2:8" x14ac:dyDescent="0.3">
      <c r="B276" s="31">
        <v>269</v>
      </c>
      <c r="C276" s="32">
        <v>43532</v>
      </c>
      <c r="D276" s="33" t="s">
        <v>165</v>
      </c>
      <c r="E276" s="34" t="s">
        <v>166</v>
      </c>
      <c r="F276" s="31" t="s">
        <v>135</v>
      </c>
      <c r="G276" s="31" t="s">
        <v>158</v>
      </c>
      <c r="H276" s="35">
        <v>15995900</v>
      </c>
    </row>
    <row r="277" spans="2:8" x14ac:dyDescent="0.3">
      <c r="B277" s="31">
        <v>270</v>
      </c>
      <c r="C277" s="32">
        <v>43553</v>
      </c>
      <c r="D277" s="33" t="s">
        <v>167</v>
      </c>
      <c r="E277" s="34" t="s">
        <v>168</v>
      </c>
      <c r="F277" s="31" t="s">
        <v>147</v>
      </c>
      <c r="G277" s="31" t="s">
        <v>125</v>
      </c>
      <c r="H277" s="35">
        <v>11019500</v>
      </c>
    </row>
    <row r="278" spans="2:8" x14ac:dyDescent="0.3">
      <c r="B278" s="31">
        <v>271</v>
      </c>
      <c r="C278" s="32">
        <v>43541</v>
      </c>
      <c r="D278" s="33" t="s">
        <v>129</v>
      </c>
      <c r="E278" s="34" t="s">
        <v>130</v>
      </c>
      <c r="F278" s="31" t="s">
        <v>147</v>
      </c>
      <c r="G278" s="31" t="s">
        <v>128</v>
      </c>
      <c r="H278" s="35">
        <v>10837500</v>
      </c>
    </row>
    <row r="279" spans="2:8" x14ac:dyDescent="0.3">
      <c r="B279" s="31">
        <v>272</v>
      </c>
      <c r="C279" s="32">
        <v>43549</v>
      </c>
      <c r="D279" s="33" t="s">
        <v>159</v>
      </c>
      <c r="E279" s="34" t="s">
        <v>160</v>
      </c>
      <c r="F279" s="31" t="s">
        <v>135</v>
      </c>
      <c r="G279" s="31" t="s">
        <v>132</v>
      </c>
      <c r="H279" s="35">
        <v>9237820</v>
      </c>
    </row>
    <row r="280" spans="2:8" x14ac:dyDescent="0.3">
      <c r="B280" s="31">
        <v>273</v>
      </c>
      <c r="C280" s="32">
        <v>43540</v>
      </c>
      <c r="D280" s="33" t="s">
        <v>133</v>
      </c>
      <c r="E280" s="34" t="s">
        <v>134</v>
      </c>
      <c r="F280" s="31" t="s">
        <v>147</v>
      </c>
      <c r="G280" s="31" t="s">
        <v>132</v>
      </c>
      <c r="H280" s="35">
        <v>45812820</v>
      </c>
    </row>
    <row r="281" spans="2:8" x14ac:dyDescent="0.3">
      <c r="B281" s="31">
        <v>274</v>
      </c>
      <c r="C281" s="32">
        <v>43526</v>
      </c>
      <c r="D281" s="33" t="s">
        <v>142</v>
      </c>
      <c r="E281" s="34" t="s">
        <v>143</v>
      </c>
      <c r="F281" s="31" t="s">
        <v>147</v>
      </c>
      <c r="G281" s="31" t="s">
        <v>132</v>
      </c>
      <c r="H281" s="35">
        <v>42812820</v>
      </c>
    </row>
    <row r="282" spans="2:8" x14ac:dyDescent="0.3">
      <c r="B282" s="31">
        <v>275</v>
      </c>
      <c r="C282" s="32">
        <v>43525</v>
      </c>
      <c r="D282" s="33" t="s">
        <v>165</v>
      </c>
      <c r="E282" s="34" t="s">
        <v>166</v>
      </c>
      <c r="F282" s="31" t="s">
        <v>144</v>
      </c>
      <c r="G282" s="31" t="s">
        <v>158</v>
      </c>
      <c r="H282" s="35">
        <v>38812820</v>
      </c>
    </row>
    <row r="283" spans="2:8" x14ac:dyDescent="0.3">
      <c r="B283" s="31">
        <v>276</v>
      </c>
      <c r="C283" s="32">
        <v>43541</v>
      </c>
      <c r="D283" s="33" t="s">
        <v>161</v>
      </c>
      <c r="E283" s="34" t="s">
        <v>162</v>
      </c>
      <c r="F283" s="31" t="s">
        <v>124</v>
      </c>
      <c r="G283" s="31" t="s">
        <v>136</v>
      </c>
      <c r="H283" s="35">
        <v>33812820</v>
      </c>
    </row>
    <row r="284" spans="2:8" x14ac:dyDescent="0.3">
      <c r="B284" s="31">
        <v>277</v>
      </c>
      <c r="C284" s="32">
        <v>43552</v>
      </c>
      <c r="D284" s="33" t="s">
        <v>139</v>
      </c>
      <c r="E284" s="34" t="s">
        <v>140</v>
      </c>
      <c r="F284" s="31" t="s">
        <v>135</v>
      </c>
      <c r="G284" s="31" t="s">
        <v>158</v>
      </c>
      <c r="H284" s="35">
        <v>21212820</v>
      </c>
    </row>
    <row r="285" spans="2:8" x14ac:dyDescent="0.3">
      <c r="B285" s="31">
        <v>278</v>
      </c>
      <c r="C285" s="32">
        <v>43527</v>
      </c>
      <c r="D285" s="33" t="s">
        <v>159</v>
      </c>
      <c r="E285" s="34" t="s">
        <v>160</v>
      </c>
      <c r="F285" s="31" t="s">
        <v>144</v>
      </c>
      <c r="G285" s="31" t="s">
        <v>136</v>
      </c>
      <c r="H285" s="35">
        <v>20112820</v>
      </c>
    </row>
    <row r="286" spans="2:8" x14ac:dyDescent="0.3">
      <c r="B286" s="31">
        <v>279</v>
      </c>
      <c r="C286" s="32">
        <v>43531</v>
      </c>
      <c r="D286" s="33" t="s">
        <v>137</v>
      </c>
      <c r="E286" s="34" t="s">
        <v>138</v>
      </c>
      <c r="F286" s="31" t="s">
        <v>147</v>
      </c>
      <c r="G286" s="31" t="s">
        <v>141</v>
      </c>
      <c r="H286" s="35">
        <v>17912820</v>
      </c>
    </row>
    <row r="287" spans="2:8" x14ac:dyDescent="0.3">
      <c r="B287" s="31">
        <v>280</v>
      </c>
      <c r="C287" s="32">
        <v>43541</v>
      </c>
      <c r="D287" s="33" t="s">
        <v>129</v>
      </c>
      <c r="E287" s="34" t="s">
        <v>130</v>
      </c>
      <c r="F287" s="31" t="s">
        <v>131</v>
      </c>
      <c r="G287" s="31" t="s">
        <v>136</v>
      </c>
      <c r="H287" s="35">
        <v>16412820</v>
      </c>
    </row>
    <row r="288" spans="2:8" x14ac:dyDescent="0.3">
      <c r="B288" s="31">
        <v>281</v>
      </c>
      <c r="C288" s="32">
        <v>43535</v>
      </c>
      <c r="D288" s="33" t="s">
        <v>163</v>
      </c>
      <c r="E288" s="34" t="s">
        <v>164</v>
      </c>
      <c r="F288" s="31" t="s">
        <v>135</v>
      </c>
      <c r="G288" s="31" t="s">
        <v>132</v>
      </c>
      <c r="H288" s="35">
        <v>6412820</v>
      </c>
    </row>
    <row r="289" spans="2:8" x14ac:dyDescent="0.3">
      <c r="B289" s="31">
        <v>282</v>
      </c>
      <c r="C289" s="32">
        <v>43541</v>
      </c>
      <c r="D289" s="33" t="s">
        <v>165</v>
      </c>
      <c r="E289" s="34" t="s">
        <v>166</v>
      </c>
      <c r="F289" s="31" t="s">
        <v>147</v>
      </c>
      <c r="G289" s="31" t="s">
        <v>125</v>
      </c>
      <c r="H289" s="35">
        <v>4923390</v>
      </c>
    </row>
    <row r="290" spans="2:8" x14ac:dyDescent="0.3">
      <c r="B290" s="31">
        <v>283</v>
      </c>
      <c r="C290" s="32">
        <v>43555</v>
      </c>
      <c r="D290" s="33" t="s">
        <v>142</v>
      </c>
      <c r="E290" s="34" t="s">
        <v>143</v>
      </c>
      <c r="F290" s="31" t="s">
        <v>135</v>
      </c>
      <c r="G290" s="31" t="s">
        <v>158</v>
      </c>
      <c r="H290" s="35">
        <v>53898280</v>
      </c>
    </row>
    <row r="291" spans="2:8" x14ac:dyDescent="0.3">
      <c r="B291" s="31">
        <v>284</v>
      </c>
      <c r="C291" s="32">
        <v>43540</v>
      </c>
      <c r="D291" s="33" t="s">
        <v>156</v>
      </c>
      <c r="E291" s="34" t="s">
        <v>157</v>
      </c>
      <c r="F291" s="31" t="s">
        <v>147</v>
      </c>
      <c r="G291" s="31" t="s">
        <v>158</v>
      </c>
      <c r="H291" s="35">
        <v>50898280</v>
      </c>
    </row>
    <row r="292" spans="2:8" x14ac:dyDescent="0.3">
      <c r="B292" s="31">
        <v>285</v>
      </c>
      <c r="C292" s="32">
        <v>43538</v>
      </c>
      <c r="D292" s="33" t="s">
        <v>150</v>
      </c>
      <c r="E292" s="34" t="s">
        <v>151</v>
      </c>
      <c r="F292" s="31" t="s">
        <v>131</v>
      </c>
      <c r="G292" s="31" t="s">
        <v>132</v>
      </c>
      <c r="H292" s="35">
        <v>46898280</v>
      </c>
    </row>
    <row r="293" spans="2:8" x14ac:dyDescent="0.3">
      <c r="B293" s="31">
        <v>286</v>
      </c>
      <c r="C293" s="32">
        <v>43555</v>
      </c>
      <c r="D293" s="33" t="s">
        <v>145</v>
      </c>
      <c r="E293" s="34" t="s">
        <v>146</v>
      </c>
      <c r="F293" s="31" t="s">
        <v>135</v>
      </c>
      <c r="G293" s="31" t="s">
        <v>125</v>
      </c>
      <c r="H293" s="35">
        <v>41898280</v>
      </c>
    </row>
    <row r="294" spans="2:8" x14ac:dyDescent="0.3">
      <c r="B294" s="31">
        <v>287</v>
      </c>
      <c r="C294" s="32">
        <v>43547</v>
      </c>
      <c r="D294" s="33" t="s">
        <v>126</v>
      </c>
      <c r="E294" s="34" t="s">
        <v>127</v>
      </c>
      <c r="F294" s="31" t="s">
        <v>135</v>
      </c>
      <c r="G294" s="31" t="s">
        <v>141</v>
      </c>
      <c r="H294" s="35">
        <v>1375000</v>
      </c>
    </row>
    <row r="295" spans="2:8" x14ac:dyDescent="0.3">
      <c r="B295" s="31">
        <v>288</v>
      </c>
      <c r="C295" s="32">
        <v>43555</v>
      </c>
      <c r="D295" s="33" t="s">
        <v>154</v>
      </c>
      <c r="E295" s="34" t="s">
        <v>155</v>
      </c>
      <c r="F295" s="31" t="s">
        <v>135</v>
      </c>
      <c r="G295" s="31" t="s">
        <v>141</v>
      </c>
      <c r="H295" s="35">
        <v>1125000</v>
      </c>
    </row>
    <row r="296" spans="2:8" x14ac:dyDescent="0.3">
      <c r="B296" s="31">
        <v>289</v>
      </c>
      <c r="C296" s="32">
        <v>43542</v>
      </c>
      <c r="D296" s="33" t="s">
        <v>139</v>
      </c>
      <c r="E296" s="34" t="s">
        <v>140</v>
      </c>
      <c r="F296" s="31" t="s">
        <v>147</v>
      </c>
      <c r="G296" s="31" t="s">
        <v>128</v>
      </c>
      <c r="H296" s="35">
        <v>1500000</v>
      </c>
    </row>
    <row r="297" spans="2:8" x14ac:dyDescent="0.3">
      <c r="B297" s="31">
        <v>290</v>
      </c>
      <c r="C297" s="32">
        <v>43532</v>
      </c>
      <c r="D297" s="33" t="s">
        <v>126</v>
      </c>
      <c r="E297" s="34" t="s">
        <v>127</v>
      </c>
      <c r="F297" s="31" t="s">
        <v>135</v>
      </c>
      <c r="G297" s="31" t="s">
        <v>132</v>
      </c>
      <c r="H297" s="35">
        <v>1123000</v>
      </c>
    </row>
    <row r="298" spans="2:8" x14ac:dyDescent="0.3">
      <c r="B298" s="31">
        <v>291</v>
      </c>
      <c r="C298" s="32">
        <v>43541</v>
      </c>
      <c r="D298" s="33" t="s">
        <v>148</v>
      </c>
      <c r="E298" s="34" t="s">
        <v>149</v>
      </c>
      <c r="F298" s="31" t="s">
        <v>124</v>
      </c>
      <c r="G298" s="31" t="s">
        <v>132</v>
      </c>
      <c r="H298" s="35">
        <v>1150000</v>
      </c>
    </row>
    <row r="299" spans="2:8" x14ac:dyDescent="0.3">
      <c r="B299" s="31">
        <v>292</v>
      </c>
      <c r="C299" s="32">
        <v>43541</v>
      </c>
      <c r="D299" s="33" t="s">
        <v>150</v>
      </c>
      <c r="E299" s="34" t="s">
        <v>151</v>
      </c>
      <c r="F299" s="31" t="s">
        <v>124</v>
      </c>
      <c r="G299" s="31" t="s">
        <v>125</v>
      </c>
      <c r="H299" s="35">
        <v>1130000</v>
      </c>
    </row>
    <row r="300" spans="2:8" x14ac:dyDescent="0.3">
      <c r="B300" s="31">
        <v>293</v>
      </c>
      <c r="C300" s="32">
        <v>43552</v>
      </c>
      <c r="D300" s="33" t="s">
        <v>145</v>
      </c>
      <c r="E300" s="34" t="s">
        <v>146</v>
      </c>
      <c r="F300" s="31" t="s">
        <v>124</v>
      </c>
      <c r="G300" s="31" t="s">
        <v>158</v>
      </c>
      <c r="H300" s="35">
        <v>1745000</v>
      </c>
    </row>
    <row r="301" spans="2:8" x14ac:dyDescent="0.3">
      <c r="B301" s="31">
        <v>294</v>
      </c>
      <c r="C301" s="32">
        <v>43549</v>
      </c>
      <c r="D301" s="33" t="s">
        <v>165</v>
      </c>
      <c r="E301" s="34" t="s">
        <v>166</v>
      </c>
      <c r="F301" s="31" t="s">
        <v>131</v>
      </c>
      <c r="G301" s="31" t="s">
        <v>132</v>
      </c>
      <c r="H301" s="35">
        <v>2300000</v>
      </c>
    </row>
    <row r="302" spans="2:8" x14ac:dyDescent="0.3">
      <c r="B302" s="31">
        <v>295</v>
      </c>
      <c r="C302" s="32">
        <v>43525</v>
      </c>
      <c r="D302" s="33" t="s">
        <v>161</v>
      </c>
      <c r="E302" s="34" t="s">
        <v>162</v>
      </c>
      <c r="F302" s="31" t="s">
        <v>147</v>
      </c>
      <c r="G302" s="31" t="s">
        <v>128</v>
      </c>
      <c r="H302" s="35">
        <v>1333000</v>
      </c>
    </row>
    <row r="303" spans="2:8" x14ac:dyDescent="0.3">
      <c r="B303" s="31">
        <v>296</v>
      </c>
      <c r="C303" s="32">
        <v>43535</v>
      </c>
      <c r="D303" s="33" t="s">
        <v>133</v>
      </c>
      <c r="E303" s="34" t="s">
        <v>134</v>
      </c>
      <c r="F303" s="31" t="s">
        <v>124</v>
      </c>
      <c r="G303" s="31" t="s">
        <v>128</v>
      </c>
      <c r="H303" s="35">
        <v>1850000</v>
      </c>
    </row>
    <row r="304" spans="2:8" x14ac:dyDescent="0.3">
      <c r="B304" s="31">
        <v>297</v>
      </c>
      <c r="C304" s="32">
        <v>43534</v>
      </c>
      <c r="D304" s="33" t="s">
        <v>148</v>
      </c>
      <c r="E304" s="34" t="s">
        <v>149</v>
      </c>
      <c r="F304" s="31" t="s">
        <v>124</v>
      </c>
      <c r="G304" s="31" t="s">
        <v>136</v>
      </c>
      <c r="H304" s="35">
        <v>1440000</v>
      </c>
    </row>
    <row r="305" spans="2:8" x14ac:dyDescent="0.3">
      <c r="B305" s="31">
        <v>298</v>
      </c>
      <c r="C305" s="32">
        <v>43525</v>
      </c>
      <c r="D305" s="33" t="s">
        <v>163</v>
      </c>
      <c r="E305" s="34" t="s">
        <v>164</v>
      </c>
      <c r="F305" s="31" t="s">
        <v>135</v>
      </c>
      <c r="G305" s="31" t="s">
        <v>141</v>
      </c>
      <c r="H305" s="35">
        <v>1120000</v>
      </c>
    </row>
    <row r="306" spans="2:8" x14ac:dyDescent="0.3">
      <c r="B306" s="31">
        <v>299</v>
      </c>
      <c r="C306" s="32">
        <v>43554</v>
      </c>
      <c r="D306" s="33" t="s">
        <v>165</v>
      </c>
      <c r="E306" s="34" t="s">
        <v>166</v>
      </c>
      <c r="F306" s="31" t="s">
        <v>144</v>
      </c>
      <c r="G306" s="31" t="s">
        <v>136</v>
      </c>
      <c r="H306" s="35">
        <v>1500000</v>
      </c>
    </row>
    <row r="307" spans="2:8" x14ac:dyDescent="0.3">
      <c r="B307" s="31">
        <v>300</v>
      </c>
      <c r="C307" s="32">
        <v>43535</v>
      </c>
      <c r="D307" s="33" t="s">
        <v>137</v>
      </c>
      <c r="E307" s="34" t="s">
        <v>138</v>
      </c>
      <c r="F307" s="31" t="s">
        <v>124</v>
      </c>
      <c r="G307" s="31" t="s">
        <v>125</v>
      </c>
      <c r="H307" s="35">
        <v>1200000</v>
      </c>
    </row>
    <row r="308" spans="2:8" x14ac:dyDescent="0.3">
      <c r="B308" s="31">
        <v>301</v>
      </c>
      <c r="C308" s="32">
        <v>43553</v>
      </c>
      <c r="D308" s="33" t="s">
        <v>148</v>
      </c>
      <c r="E308" s="34" t="s">
        <v>149</v>
      </c>
      <c r="F308" s="31" t="s">
        <v>144</v>
      </c>
      <c r="G308" s="31" t="s">
        <v>136</v>
      </c>
      <c r="H308" s="35">
        <v>1754000</v>
      </c>
    </row>
    <row r="309" spans="2:8" x14ac:dyDescent="0.3">
      <c r="B309" s="31">
        <v>302</v>
      </c>
      <c r="C309" s="32">
        <v>43534</v>
      </c>
      <c r="D309" s="33" t="s">
        <v>165</v>
      </c>
      <c r="E309" s="34" t="s">
        <v>166</v>
      </c>
      <c r="F309" s="31" t="s">
        <v>131</v>
      </c>
      <c r="G309" s="31" t="s">
        <v>141</v>
      </c>
      <c r="H309" s="35">
        <v>1430000</v>
      </c>
    </row>
    <row r="310" spans="2:8" x14ac:dyDescent="0.3">
      <c r="B310" s="31">
        <v>303</v>
      </c>
      <c r="C310" s="32">
        <v>43577</v>
      </c>
      <c r="D310" s="33" t="s">
        <v>161</v>
      </c>
      <c r="E310" s="34" t="s">
        <v>162</v>
      </c>
      <c r="F310" s="31" t="s">
        <v>144</v>
      </c>
      <c r="G310" s="31" t="s">
        <v>125</v>
      </c>
      <c r="H310" s="35">
        <v>1354000</v>
      </c>
    </row>
    <row r="311" spans="2:8" x14ac:dyDescent="0.3">
      <c r="B311" s="31">
        <v>304</v>
      </c>
      <c r="C311" s="32">
        <v>43559</v>
      </c>
      <c r="D311" s="33" t="s">
        <v>122</v>
      </c>
      <c r="E311" s="34" t="s">
        <v>123</v>
      </c>
      <c r="F311" s="31" t="s">
        <v>147</v>
      </c>
      <c r="G311" s="31" t="s">
        <v>132</v>
      </c>
      <c r="H311" s="35">
        <v>965000</v>
      </c>
    </row>
    <row r="312" spans="2:8" x14ac:dyDescent="0.3">
      <c r="B312" s="31">
        <v>305</v>
      </c>
      <c r="C312" s="32">
        <v>43559</v>
      </c>
      <c r="D312" s="33" t="s">
        <v>145</v>
      </c>
      <c r="E312" s="34" t="s">
        <v>146</v>
      </c>
      <c r="F312" s="31" t="s">
        <v>147</v>
      </c>
      <c r="G312" s="31" t="s">
        <v>128</v>
      </c>
      <c r="H312" s="35">
        <v>1540000</v>
      </c>
    </row>
    <row r="313" spans="2:8" x14ac:dyDescent="0.3">
      <c r="B313" s="31">
        <v>306</v>
      </c>
      <c r="C313" s="32">
        <v>43555</v>
      </c>
      <c r="D313" s="33" t="s">
        <v>150</v>
      </c>
      <c r="E313" s="34" t="s">
        <v>151</v>
      </c>
      <c r="F313" s="31" t="s">
        <v>144</v>
      </c>
      <c r="G313" s="31" t="s">
        <v>128</v>
      </c>
      <c r="H313" s="35">
        <v>2234000</v>
      </c>
    </row>
    <row r="314" spans="2:8" x14ac:dyDescent="0.3">
      <c r="B314" s="31">
        <v>307</v>
      </c>
      <c r="C314" s="32">
        <v>43570</v>
      </c>
      <c r="D314" s="33" t="s">
        <v>133</v>
      </c>
      <c r="E314" s="34" t="s">
        <v>134</v>
      </c>
      <c r="F314" s="31" t="s">
        <v>135</v>
      </c>
      <c r="G314" s="31" t="s">
        <v>158</v>
      </c>
      <c r="H314" s="35">
        <v>1456000</v>
      </c>
    </row>
    <row r="315" spans="2:8" x14ac:dyDescent="0.3">
      <c r="B315" s="31">
        <v>308</v>
      </c>
      <c r="C315" s="32">
        <v>43555</v>
      </c>
      <c r="D315" s="33" t="s">
        <v>126</v>
      </c>
      <c r="E315" s="34" t="s">
        <v>127</v>
      </c>
      <c r="F315" s="31" t="s">
        <v>135</v>
      </c>
      <c r="G315" s="31" t="s">
        <v>136</v>
      </c>
      <c r="H315" s="35">
        <v>1725000</v>
      </c>
    </row>
    <row r="316" spans="2:8" x14ac:dyDescent="0.3">
      <c r="B316" s="31">
        <v>309</v>
      </c>
      <c r="C316" s="32">
        <v>43567</v>
      </c>
      <c r="D316" s="33" t="s">
        <v>154</v>
      </c>
      <c r="E316" s="34" t="s">
        <v>155</v>
      </c>
      <c r="F316" s="31" t="s">
        <v>124</v>
      </c>
      <c r="G316" s="31" t="s">
        <v>132</v>
      </c>
      <c r="H316" s="35">
        <v>1240000</v>
      </c>
    </row>
    <row r="317" spans="2:8" x14ac:dyDescent="0.3">
      <c r="B317" s="31">
        <v>310</v>
      </c>
      <c r="C317" s="32">
        <v>43559</v>
      </c>
      <c r="D317" s="33" t="s">
        <v>122</v>
      </c>
      <c r="E317" s="34" t="s">
        <v>123</v>
      </c>
      <c r="F317" s="31" t="s">
        <v>144</v>
      </c>
      <c r="G317" s="31" t="s">
        <v>141</v>
      </c>
      <c r="H317" s="35">
        <v>1200000</v>
      </c>
    </row>
    <row r="318" spans="2:8" x14ac:dyDescent="0.3">
      <c r="B318" s="31">
        <v>311</v>
      </c>
      <c r="C318" s="32">
        <v>43577</v>
      </c>
      <c r="D318" s="33" t="s">
        <v>165</v>
      </c>
      <c r="E318" s="34" t="s">
        <v>166</v>
      </c>
      <c r="F318" s="31" t="s">
        <v>135</v>
      </c>
      <c r="G318" s="31" t="s">
        <v>128</v>
      </c>
      <c r="H318" s="35">
        <v>2875000</v>
      </c>
    </row>
    <row r="319" spans="2:8" x14ac:dyDescent="0.3">
      <c r="B319" s="31">
        <v>312</v>
      </c>
      <c r="C319" s="32">
        <v>43569</v>
      </c>
      <c r="D319" s="33" t="s">
        <v>159</v>
      </c>
      <c r="E319" s="34" t="s">
        <v>160</v>
      </c>
      <c r="F319" s="31" t="s">
        <v>131</v>
      </c>
      <c r="G319" s="31" t="s">
        <v>128</v>
      </c>
      <c r="H319" s="35">
        <v>2325000</v>
      </c>
    </row>
    <row r="320" spans="2:8" x14ac:dyDescent="0.3">
      <c r="B320" s="31">
        <v>313</v>
      </c>
      <c r="C320" s="32">
        <v>43569</v>
      </c>
      <c r="D320" s="33" t="s">
        <v>161</v>
      </c>
      <c r="E320" s="34" t="s">
        <v>162</v>
      </c>
      <c r="F320" s="31" t="s">
        <v>135</v>
      </c>
      <c r="G320" s="31" t="s">
        <v>158</v>
      </c>
      <c r="H320" s="35">
        <v>3254000</v>
      </c>
    </row>
    <row r="321" spans="2:8" x14ac:dyDescent="0.3">
      <c r="B321" s="31">
        <v>314</v>
      </c>
      <c r="C321" s="32">
        <v>43570</v>
      </c>
      <c r="D321" s="33" t="s">
        <v>139</v>
      </c>
      <c r="E321" s="34" t="s">
        <v>140</v>
      </c>
      <c r="F321" s="31" t="s">
        <v>144</v>
      </c>
      <c r="G321" s="31" t="s">
        <v>136</v>
      </c>
      <c r="H321" s="35">
        <v>2553000</v>
      </c>
    </row>
    <row r="322" spans="2:8" x14ac:dyDescent="0.3">
      <c r="B322" s="31">
        <v>315</v>
      </c>
      <c r="C322" s="32">
        <v>43556</v>
      </c>
      <c r="D322" s="33" t="s">
        <v>161</v>
      </c>
      <c r="E322" s="34" t="s">
        <v>162</v>
      </c>
      <c r="F322" s="31" t="s">
        <v>124</v>
      </c>
      <c r="G322" s="31" t="s">
        <v>136</v>
      </c>
      <c r="H322" s="35">
        <v>2504000</v>
      </c>
    </row>
    <row r="323" spans="2:8" x14ac:dyDescent="0.3">
      <c r="B323" s="31">
        <v>316</v>
      </c>
      <c r="C323" s="32">
        <v>43581</v>
      </c>
      <c r="D323" s="33" t="s">
        <v>148</v>
      </c>
      <c r="E323" s="34" t="s">
        <v>149</v>
      </c>
      <c r="F323" s="31" t="s">
        <v>131</v>
      </c>
      <c r="G323" s="31" t="s">
        <v>125</v>
      </c>
      <c r="H323" s="35">
        <v>2095000</v>
      </c>
    </row>
    <row r="324" spans="2:8" x14ac:dyDescent="0.3">
      <c r="B324" s="31">
        <v>317</v>
      </c>
      <c r="C324" s="32">
        <v>43567</v>
      </c>
      <c r="D324" s="33" t="s">
        <v>142</v>
      </c>
      <c r="E324" s="34" t="s">
        <v>143</v>
      </c>
      <c r="F324" s="31" t="s">
        <v>147</v>
      </c>
      <c r="G324" s="31" t="s">
        <v>132</v>
      </c>
      <c r="H324" s="35">
        <v>3285000</v>
      </c>
    </row>
    <row r="325" spans="2:8" x14ac:dyDescent="0.3">
      <c r="B325" s="31">
        <v>318</v>
      </c>
      <c r="C325" s="32">
        <v>43576</v>
      </c>
      <c r="D325" s="33" t="s">
        <v>145</v>
      </c>
      <c r="E325" s="34" t="s">
        <v>146</v>
      </c>
      <c r="F325" s="31" t="s">
        <v>124</v>
      </c>
      <c r="G325" s="31" t="s">
        <v>125</v>
      </c>
      <c r="H325" s="35">
        <v>4534000</v>
      </c>
    </row>
    <row r="326" spans="2:8" x14ac:dyDescent="0.3">
      <c r="B326" s="31">
        <v>319</v>
      </c>
      <c r="C326" s="32">
        <v>43562</v>
      </c>
      <c r="D326" s="33" t="s">
        <v>137</v>
      </c>
      <c r="E326" s="34" t="s">
        <v>138</v>
      </c>
      <c r="F326" s="31" t="s">
        <v>147</v>
      </c>
      <c r="G326" s="31" t="s">
        <v>141</v>
      </c>
      <c r="H326" s="35">
        <v>2789000</v>
      </c>
    </row>
    <row r="327" spans="2:8" x14ac:dyDescent="0.3">
      <c r="B327" s="31">
        <v>320</v>
      </c>
      <c r="C327" s="32">
        <v>43577</v>
      </c>
      <c r="D327" s="33" t="s">
        <v>163</v>
      </c>
      <c r="E327" s="34" t="s">
        <v>164</v>
      </c>
      <c r="F327" s="31" t="s">
        <v>124</v>
      </c>
      <c r="G327" s="31" t="s">
        <v>128</v>
      </c>
      <c r="H327" s="35">
        <v>3575000</v>
      </c>
    </row>
    <row r="328" spans="2:8" x14ac:dyDescent="0.3">
      <c r="B328" s="31">
        <v>321</v>
      </c>
      <c r="C328" s="32">
        <v>43574</v>
      </c>
      <c r="D328" s="33" t="s">
        <v>163</v>
      </c>
      <c r="E328" s="34" t="s">
        <v>164</v>
      </c>
      <c r="F328" s="31" t="s">
        <v>131</v>
      </c>
      <c r="G328" s="31" t="s">
        <v>132</v>
      </c>
      <c r="H328" s="35">
        <v>2680000</v>
      </c>
    </row>
    <row r="329" spans="2:8" x14ac:dyDescent="0.3">
      <c r="B329" s="31">
        <v>322</v>
      </c>
      <c r="C329" s="32">
        <v>43573</v>
      </c>
      <c r="D329" s="33" t="s">
        <v>159</v>
      </c>
      <c r="E329" s="34" t="s">
        <v>160</v>
      </c>
      <c r="F329" s="31" t="s">
        <v>124</v>
      </c>
      <c r="G329" s="31" t="s">
        <v>128</v>
      </c>
      <c r="H329" s="35">
        <v>2320000</v>
      </c>
    </row>
    <row r="330" spans="2:8" x14ac:dyDescent="0.3">
      <c r="B330" s="31">
        <v>323</v>
      </c>
      <c r="C330" s="32">
        <v>43556</v>
      </c>
      <c r="D330" s="33" t="s">
        <v>152</v>
      </c>
      <c r="E330" s="34" t="s">
        <v>153</v>
      </c>
      <c r="F330" s="31" t="s">
        <v>131</v>
      </c>
      <c r="G330" s="31" t="s">
        <v>141</v>
      </c>
      <c r="H330" s="35">
        <v>1650000</v>
      </c>
    </row>
    <row r="331" spans="2:8" x14ac:dyDescent="0.3">
      <c r="B331" s="31">
        <v>324</v>
      </c>
      <c r="C331" s="32">
        <v>43574</v>
      </c>
      <c r="D331" s="33" t="s">
        <v>129</v>
      </c>
      <c r="E331" s="34" t="s">
        <v>130</v>
      </c>
      <c r="F331" s="31" t="s">
        <v>131</v>
      </c>
      <c r="G331" s="31" t="s">
        <v>141</v>
      </c>
      <c r="H331" s="35">
        <v>1247000</v>
      </c>
    </row>
    <row r="332" spans="2:8" x14ac:dyDescent="0.3">
      <c r="B332" s="31">
        <v>325</v>
      </c>
      <c r="C332" s="32">
        <v>43559</v>
      </c>
      <c r="D332" s="33" t="s">
        <v>142</v>
      </c>
      <c r="E332" s="34" t="s">
        <v>143</v>
      </c>
      <c r="F332" s="31" t="s">
        <v>147</v>
      </c>
      <c r="G332" s="31" t="s">
        <v>128</v>
      </c>
      <c r="H332" s="35">
        <v>1230000</v>
      </c>
    </row>
    <row r="333" spans="2:8" x14ac:dyDescent="0.3">
      <c r="B333" s="31">
        <v>326</v>
      </c>
      <c r="C333" s="32">
        <v>43577</v>
      </c>
      <c r="D333" s="33" t="s">
        <v>167</v>
      </c>
      <c r="E333" s="34" t="s">
        <v>168</v>
      </c>
      <c r="F333" s="31" t="s">
        <v>144</v>
      </c>
      <c r="G333" s="31" t="s">
        <v>132</v>
      </c>
      <c r="H333" s="35">
        <v>1225000</v>
      </c>
    </row>
    <row r="334" spans="2:8" x14ac:dyDescent="0.3">
      <c r="B334" s="31">
        <v>327</v>
      </c>
      <c r="C334" s="32">
        <v>43569</v>
      </c>
      <c r="D334" s="33" t="s">
        <v>122</v>
      </c>
      <c r="E334" s="34" t="s">
        <v>123</v>
      </c>
      <c r="F334" s="31" t="s">
        <v>124</v>
      </c>
      <c r="G334" s="31" t="s">
        <v>141</v>
      </c>
      <c r="H334" s="35">
        <v>1560000</v>
      </c>
    </row>
    <row r="335" spans="2:8" x14ac:dyDescent="0.3">
      <c r="B335" s="31">
        <v>328</v>
      </c>
      <c r="C335" s="32">
        <v>43575</v>
      </c>
      <c r="D335" s="33" t="s">
        <v>129</v>
      </c>
      <c r="E335" s="34" t="s">
        <v>130</v>
      </c>
      <c r="F335" s="31" t="s">
        <v>147</v>
      </c>
      <c r="G335" s="31" t="s">
        <v>132</v>
      </c>
      <c r="H335" s="35">
        <v>2400000</v>
      </c>
    </row>
    <row r="336" spans="2:8" x14ac:dyDescent="0.3">
      <c r="B336" s="31">
        <v>329</v>
      </c>
      <c r="C336" s="32">
        <v>43581</v>
      </c>
      <c r="D336" s="33" t="s">
        <v>122</v>
      </c>
      <c r="E336" s="34" t="s">
        <v>123</v>
      </c>
      <c r="F336" s="31" t="s">
        <v>135</v>
      </c>
      <c r="G336" s="31" t="s">
        <v>158</v>
      </c>
      <c r="H336" s="35">
        <v>2350000</v>
      </c>
    </row>
    <row r="337" spans="2:8" x14ac:dyDescent="0.3">
      <c r="B337" s="31">
        <v>330</v>
      </c>
      <c r="C337" s="32">
        <v>43583</v>
      </c>
      <c r="D337" s="33" t="s">
        <v>133</v>
      </c>
      <c r="E337" s="34" t="s">
        <v>134</v>
      </c>
      <c r="F337" s="31" t="s">
        <v>144</v>
      </c>
      <c r="G337" s="31" t="s">
        <v>125</v>
      </c>
      <c r="H337" s="35">
        <v>1265000</v>
      </c>
    </row>
    <row r="338" spans="2:8" x14ac:dyDescent="0.3">
      <c r="B338" s="31">
        <v>331</v>
      </c>
      <c r="C338" s="32">
        <v>43555</v>
      </c>
      <c r="D338" s="33" t="s">
        <v>152</v>
      </c>
      <c r="E338" s="34" t="s">
        <v>153</v>
      </c>
      <c r="F338" s="31" t="s">
        <v>131</v>
      </c>
      <c r="G338" s="31" t="s">
        <v>128</v>
      </c>
      <c r="H338" s="35">
        <v>2100000</v>
      </c>
    </row>
    <row r="339" spans="2:8" x14ac:dyDescent="0.3">
      <c r="B339" s="31">
        <v>332</v>
      </c>
      <c r="C339" s="32">
        <v>43556</v>
      </c>
      <c r="D339" s="33" t="s">
        <v>159</v>
      </c>
      <c r="E339" s="34" t="s">
        <v>160</v>
      </c>
      <c r="F339" s="31" t="s">
        <v>135</v>
      </c>
      <c r="G339" s="31" t="s">
        <v>136</v>
      </c>
      <c r="H339" s="35">
        <v>1370000</v>
      </c>
    </row>
    <row r="340" spans="2:8" x14ac:dyDescent="0.3">
      <c r="B340" s="31">
        <v>333</v>
      </c>
      <c r="C340" s="32">
        <v>43583</v>
      </c>
      <c r="D340" s="33" t="s">
        <v>159</v>
      </c>
      <c r="E340" s="34" t="s">
        <v>160</v>
      </c>
      <c r="F340" s="31" t="s">
        <v>144</v>
      </c>
      <c r="G340" s="31" t="s">
        <v>132</v>
      </c>
      <c r="H340" s="35">
        <v>2150000</v>
      </c>
    </row>
    <row r="341" spans="2:8" x14ac:dyDescent="0.3">
      <c r="B341" s="31">
        <v>334</v>
      </c>
      <c r="C341" s="32">
        <v>43561</v>
      </c>
      <c r="D341" s="33" t="s">
        <v>165</v>
      </c>
      <c r="E341" s="34" t="s">
        <v>166</v>
      </c>
      <c r="F341" s="31" t="s">
        <v>147</v>
      </c>
      <c r="G341" s="31" t="s">
        <v>125</v>
      </c>
      <c r="H341" s="35">
        <v>1270000</v>
      </c>
    </row>
    <row r="342" spans="2:8" x14ac:dyDescent="0.3">
      <c r="B342" s="31">
        <v>335</v>
      </c>
      <c r="C342" s="32">
        <v>43570</v>
      </c>
      <c r="D342" s="33" t="s">
        <v>154</v>
      </c>
      <c r="E342" s="34" t="s">
        <v>155</v>
      </c>
      <c r="F342" s="31" t="s">
        <v>135</v>
      </c>
      <c r="G342" s="31" t="s">
        <v>125</v>
      </c>
      <c r="H342" s="35">
        <v>1775000</v>
      </c>
    </row>
    <row r="343" spans="2:8" x14ac:dyDescent="0.3">
      <c r="B343" s="31">
        <v>336</v>
      </c>
      <c r="C343" s="32">
        <v>43575</v>
      </c>
      <c r="D343" s="33" t="s">
        <v>139</v>
      </c>
      <c r="E343" s="34" t="s">
        <v>140</v>
      </c>
      <c r="F343" s="31" t="s">
        <v>147</v>
      </c>
      <c r="G343" s="31" t="s">
        <v>128</v>
      </c>
      <c r="H343" s="35">
        <v>1420000</v>
      </c>
    </row>
    <row r="344" spans="2:8" x14ac:dyDescent="0.3">
      <c r="B344" s="31">
        <v>337</v>
      </c>
      <c r="C344" s="32">
        <v>43562</v>
      </c>
      <c r="D344" s="33" t="s">
        <v>163</v>
      </c>
      <c r="E344" s="34" t="s">
        <v>164</v>
      </c>
      <c r="F344" s="31" t="s">
        <v>124</v>
      </c>
      <c r="G344" s="31" t="s">
        <v>136</v>
      </c>
      <c r="H344" s="35">
        <v>1572000</v>
      </c>
    </row>
    <row r="345" spans="2:8" x14ac:dyDescent="0.3">
      <c r="B345" s="31">
        <v>338</v>
      </c>
      <c r="C345" s="32">
        <v>43559</v>
      </c>
      <c r="D345" s="33" t="s">
        <v>163</v>
      </c>
      <c r="E345" s="34" t="s">
        <v>164</v>
      </c>
      <c r="F345" s="31" t="s">
        <v>131</v>
      </c>
      <c r="G345" s="31" t="s">
        <v>128</v>
      </c>
      <c r="H345" s="35">
        <v>1700000</v>
      </c>
    </row>
    <row r="346" spans="2:8" x14ac:dyDescent="0.3">
      <c r="B346" s="31">
        <v>339</v>
      </c>
      <c r="C346" s="32">
        <v>43573</v>
      </c>
      <c r="D346" s="33" t="s">
        <v>167</v>
      </c>
      <c r="E346" s="34" t="s">
        <v>168</v>
      </c>
      <c r="F346" s="31" t="s">
        <v>124</v>
      </c>
      <c r="G346" s="31" t="s">
        <v>125</v>
      </c>
      <c r="H346" s="35">
        <v>1540000</v>
      </c>
    </row>
    <row r="347" spans="2:8" x14ac:dyDescent="0.3">
      <c r="B347" s="31">
        <v>340</v>
      </c>
      <c r="C347" s="32">
        <v>43570</v>
      </c>
      <c r="D347" s="33" t="s">
        <v>137</v>
      </c>
      <c r="E347" s="34" t="s">
        <v>138</v>
      </c>
      <c r="F347" s="31" t="s">
        <v>144</v>
      </c>
      <c r="G347" s="31" t="s">
        <v>125</v>
      </c>
      <c r="H347" s="35">
        <v>2254000</v>
      </c>
    </row>
    <row r="348" spans="2:8" x14ac:dyDescent="0.3">
      <c r="B348" s="31">
        <v>341</v>
      </c>
      <c r="C348" s="32">
        <v>43574</v>
      </c>
      <c r="D348" s="33" t="s">
        <v>137</v>
      </c>
      <c r="E348" s="34" t="s">
        <v>138</v>
      </c>
      <c r="F348" s="31" t="s">
        <v>124</v>
      </c>
      <c r="G348" s="31" t="s">
        <v>136</v>
      </c>
      <c r="H348" s="35">
        <v>3250000</v>
      </c>
    </row>
    <row r="349" spans="2:8" x14ac:dyDescent="0.3">
      <c r="B349" s="31">
        <v>342</v>
      </c>
      <c r="C349" s="32">
        <v>43561</v>
      </c>
      <c r="D349" s="33" t="s">
        <v>167</v>
      </c>
      <c r="E349" s="34" t="s">
        <v>168</v>
      </c>
      <c r="F349" s="31" t="s">
        <v>144</v>
      </c>
      <c r="G349" s="31" t="s">
        <v>141</v>
      </c>
      <c r="H349" s="35">
        <v>1120000</v>
      </c>
    </row>
    <row r="350" spans="2:8" x14ac:dyDescent="0.3">
      <c r="B350" s="31">
        <v>343</v>
      </c>
      <c r="C350" s="32">
        <v>43560</v>
      </c>
      <c r="D350" s="33" t="s">
        <v>161</v>
      </c>
      <c r="E350" s="34" t="s">
        <v>162</v>
      </c>
      <c r="F350" s="31" t="s">
        <v>147</v>
      </c>
      <c r="G350" s="31" t="s">
        <v>125</v>
      </c>
      <c r="H350" s="35">
        <v>2430000</v>
      </c>
    </row>
    <row r="351" spans="2:8" x14ac:dyDescent="0.3">
      <c r="B351" s="31">
        <v>344</v>
      </c>
      <c r="C351" s="32">
        <v>43555</v>
      </c>
      <c r="D351" s="33" t="s">
        <v>161</v>
      </c>
      <c r="E351" s="34" t="s">
        <v>162</v>
      </c>
      <c r="F351" s="31" t="s">
        <v>135</v>
      </c>
      <c r="G351" s="31" t="s">
        <v>132</v>
      </c>
      <c r="H351" s="35">
        <v>1140000</v>
      </c>
    </row>
    <row r="352" spans="2:8" x14ac:dyDescent="0.3">
      <c r="B352" s="31">
        <v>345</v>
      </c>
      <c r="C352" s="32">
        <v>43570</v>
      </c>
      <c r="D352" s="33" t="s">
        <v>152</v>
      </c>
      <c r="E352" s="34" t="s">
        <v>153</v>
      </c>
      <c r="F352" s="31" t="s">
        <v>144</v>
      </c>
      <c r="G352" s="31" t="s">
        <v>125</v>
      </c>
      <c r="H352" s="35">
        <v>2100000</v>
      </c>
    </row>
    <row r="353" spans="2:8" x14ac:dyDescent="0.3">
      <c r="B353" s="31">
        <v>346</v>
      </c>
      <c r="C353" s="32">
        <v>43584</v>
      </c>
      <c r="D353" s="33" t="s">
        <v>129</v>
      </c>
      <c r="E353" s="34" t="s">
        <v>130</v>
      </c>
      <c r="F353" s="31" t="s">
        <v>144</v>
      </c>
      <c r="G353" s="31" t="s">
        <v>141</v>
      </c>
      <c r="H353" s="35">
        <v>1970000</v>
      </c>
    </row>
    <row r="354" spans="2:8" x14ac:dyDescent="0.3">
      <c r="B354" s="31">
        <v>347</v>
      </c>
      <c r="C354" s="32">
        <v>43562</v>
      </c>
      <c r="D354" s="33" t="s">
        <v>126</v>
      </c>
      <c r="E354" s="34" t="s">
        <v>127</v>
      </c>
      <c r="F354" s="31" t="s">
        <v>131</v>
      </c>
      <c r="G354" s="31" t="s">
        <v>128</v>
      </c>
      <c r="H354" s="35">
        <v>3425000</v>
      </c>
    </row>
    <row r="355" spans="2:8" x14ac:dyDescent="0.3">
      <c r="B355" s="31">
        <v>348</v>
      </c>
      <c r="C355" s="32">
        <v>43583</v>
      </c>
      <c r="D355" s="33" t="s">
        <v>129</v>
      </c>
      <c r="E355" s="34" t="s">
        <v>130</v>
      </c>
      <c r="F355" s="31" t="s">
        <v>144</v>
      </c>
      <c r="G355" s="31" t="s">
        <v>125</v>
      </c>
      <c r="H355" s="35">
        <v>2667000</v>
      </c>
    </row>
    <row r="356" spans="2:8" x14ac:dyDescent="0.3">
      <c r="B356" s="31">
        <v>349</v>
      </c>
      <c r="C356" s="32">
        <v>43577</v>
      </c>
      <c r="D356" s="33" t="s">
        <v>126</v>
      </c>
      <c r="E356" s="34" t="s">
        <v>127</v>
      </c>
      <c r="F356" s="31" t="s">
        <v>135</v>
      </c>
      <c r="G356" s="31" t="s">
        <v>141</v>
      </c>
      <c r="H356" s="35">
        <v>2802000</v>
      </c>
    </row>
    <row r="357" spans="2:8" x14ac:dyDescent="0.3">
      <c r="B357" s="31">
        <v>350</v>
      </c>
      <c r="C357" s="32">
        <v>43582</v>
      </c>
      <c r="D357" s="33" t="s">
        <v>133</v>
      </c>
      <c r="E357" s="34" t="s">
        <v>134</v>
      </c>
      <c r="F357" s="31" t="s">
        <v>147</v>
      </c>
      <c r="G357" s="31" t="s">
        <v>141</v>
      </c>
      <c r="H357" s="35">
        <v>2925000</v>
      </c>
    </row>
    <row r="358" spans="2:8" x14ac:dyDescent="0.3">
      <c r="B358" s="31">
        <v>351</v>
      </c>
      <c r="C358" s="32">
        <v>43577</v>
      </c>
      <c r="D358" s="33" t="s">
        <v>156</v>
      </c>
      <c r="E358" s="34" t="s">
        <v>157</v>
      </c>
      <c r="F358" s="31" t="s">
        <v>135</v>
      </c>
      <c r="G358" s="31" t="s">
        <v>132</v>
      </c>
      <c r="H358" s="35">
        <v>3100000</v>
      </c>
    </row>
    <row r="359" spans="2:8" x14ac:dyDescent="0.3">
      <c r="B359" s="31">
        <v>352</v>
      </c>
      <c r="C359" s="32">
        <v>43584</v>
      </c>
      <c r="D359" s="33" t="s">
        <v>163</v>
      </c>
      <c r="E359" s="34" t="s">
        <v>164</v>
      </c>
      <c r="F359" s="31" t="s">
        <v>131</v>
      </c>
      <c r="G359" s="31" t="s">
        <v>132</v>
      </c>
      <c r="H359" s="35">
        <v>4654000</v>
      </c>
    </row>
    <row r="360" spans="2:8" x14ac:dyDescent="0.3">
      <c r="B360" s="31">
        <v>353</v>
      </c>
      <c r="C360" s="32">
        <v>43583</v>
      </c>
      <c r="D360" s="33" t="s">
        <v>129</v>
      </c>
      <c r="E360" s="34" t="s">
        <v>130</v>
      </c>
      <c r="F360" s="31" t="s">
        <v>135</v>
      </c>
      <c r="G360" s="31" t="s">
        <v>136</v>
      </c>
      <c r="H360" s="35">
        <v>5600000</v>
      </c>
    </row>
    <row r="361" spans="2:8" x14ac:dyDescent="0.3">
      <c r="B361" s="31">
        <v>354</v>
      </c>
      <c r="C361" s="32">
        <v>43580</v>
      </c>
      <c r="D361" s="33" t="s">
        <v>126</v>
      </c>
      <c r="E361" s="34" t="s">
        <v>127</v>
      </c>
      <c r="F361" s="31" t="s">
        <v>144</v>
      </c>
      <c r="G361" s="31" t="s">
        <v>128</v>
      </c>
      <c r="H361" s="35">
        <v>2385000</v>
      </c>
    </row>
    <row r="362" spans="2:8" x14ac:dyDescent="0.3">
      <c r="B362" s="31">
        <v>355</v>
      </c>
      <c r="C362" s="32">
        <v>43573</v>
      </c>
      <c r="D362" s="33" t="s">
        <v>152</v>
      </c>
      <c r="E362" s="34" t="s">
        <v>153</v>
      </c>
      <c r="F362" s="31" t="s">
        <v>135</v>
      </c>
      <c r="G362" s="31" t="s">
        <v>132</v>
      </c>
      <c r="H362" s="35">
        <v>4530000</v>
      </c>
    </row>
    <row r="363" spans="2:8" x14ac:dyDescent="0.3">
      <c r="B363" s="31">
        <v>356</v>
      </c>
      <c r="C363" s="32">
        <v>43556</v>
      </c>
      <c r="D363" s="33" t="s">
        <v>152</v>
      </c>
      <c r="E363" s="34" t="s">
        <v>153</v>
      </c>
      <c r="F363" s="31" t="s">
        <v>124</v>
      </c>
      <c r="G363" s="31" t="s">
        <v>132</v>
      </c>
      <c r="H363" s="35">
        <v>2510000</v>
      </c>
    </row>
    <row r="364" spans="2:8" x14ac:dyDescent="0.3">
      <c r="B364" s="31">
        <v>357</v>
      </c>
      <c r="C364" s="32">
        <v>43581</v>
      </c>
      <c r="D364" s="33" t="s">
        <v>122</v>
      </c>
      <c r="E364" s="34" t="s">
        <v>123</v>
      </c>
      <c r="F364" s="31" t="s">
        <v>135</v>
      </c>
      <c r="G364" s="31" t="s">
        <v>136</v>
      </c>
      <c r="H364" s="35">
        <v>4250000</v>
      </c>
    </row>
    <row r="365" spans="2:8" x14ac:dyDescent="0.3">
      <c r="B365" s="31">
        <v>358</v>
      </c>
      <c r="C365" s="32">
        <v>43556</v>
      </c>
      <c r="D365" s="33" t="s">
        <v>150</v>
      </c>
      <c r="E365" s="34" t="s">
        <v>151</v>
      </c>
      <c r="F365" s="31" t="s">
        <v>147</v>
      </c>
      <c r="G365" s="31" t="s">
        <v>125</v>
      </c>
      <c r="H365" s="35">
        <v>3240000</v>
      </c>
    </row>
    <row r="366" spans="2:8" x14ac:dyDescent="0.3">
      <c r="B366" s="31">
        <v>359</v>
      </c>
      <c r="C366" s="32">
        <v>43584</v>
      </c>
      <c r="D366" s="33" t="s">
        <v>167</v>
      </c>
      <c r="E366" s="34" t="s">
        <v>168</v>
      </c>
      <c r="F366" s="31" t="s">
        <v>135</v>
      </c>
      <c r="G366" s="31" t="s">
        <v>128</v>
      </c>
      <c r="H366" s="35">
        <v>2603300</v>
      </c>
    </row>
    <row r="367" spans="2:8" x14ac:dyDescent="0.3">
      <c r="B367" s="31">
        <v>360</v>
      </c>
      <c r="C367" s="32">
        <v>43556</v>
      </c>
      <c r="D367" s="33" t="s">
        <v>148</v>
      </c>
      <c r="E367" s="34" t="s">
        <v>149</v>
      </c>
      <c r="F367" s="31" t="s">
        <v>135</v>
      </c>
      <c r="G367" s="31" t="s">
        <v>128</v>
      </c>
      <c r="H367" s="35">
        <v>1967100</v>
      </c>
    </row>
    <row r="368" spans="2:8" x14ac:dyDescent="0.3">
      <c r="B368" s="31">
        <v>361</v>
      </c>
      <c r="C368" s="32">
        <v>43604</v>
      </c>
      <c r="D368" s="33" t="s">
        <v>139</v>
      </c>
      <c r="E368" s="34" t="s">
        <v>140</v>
      </c>
      <c r="F368" s="31" t="s">
        <v>144</v>
      </c>
      <c r="G368" s="31" t="s">
        <v>128</v>
      </c>
      <c r="H368" s="35">
        <v>3360400</v>
      </c>
    </row>
    <row r="369" spans="2:8" x14ac:dyDescent="0.3">
      <c r="B369" s="31">
        <v>362</v>
      </c>
      <c r="C369" s="32">
        <v>43611</v>
      </c>
      <c r="D369" s="33" t="s">
        <v>152</v>
      </c>
      <c r="E369" s="34" t="s">
        <v>153</v>
      </c>
      <c r="F369" s="31" t="s">
        <v>124</v>
      </c>
      <c r="G369" s="31" t="s">
        <v>125</v>
      </c>
      <c r="H369" s="35">
        <v>2894600</v>
      </c>
    </row>
    <row r="370" spans="2:8" x14ac:dyDescent="0.3">
      <c r="B370" s="31">
        <v>363</v>
      </c>
      <c r="C370" s="32">
        <v>43595</v>
      </c>
      <c r="D370" s="33" t="s">
        <v>167</v>
      </c>
      <c r="E370" s="34" t="s">
        <v>168</v>
      </c>
      <c r="F370" s="31" t="s">
        <v>144</v>
      </c>
      <c r="G370" s="31" t="s">
        <v>132</v>
      </c>
      <c r="H370" s="35">
        <v>1993800</v>
      </c>
    </row>
    <row r="371" spans="2:8" x14ac:dyDescent="0.3">
      <c r="B371" s="31">
        <v>364</v>
      </c>
      <c r="C371" s="32">
        <v>43584</v>
      </c>
      <c r="D371" s="33" t="s">
        <v>142</v>
      </c>
      <c r="E371" s="34" t="s">
        <v>143</v>
      </c>
      <c r="F371" s="31" t="s">
        <v>131</v>
      </c>
      <c r="G371" s="31" t="s">
        <v>136</v>
      </c>
      <c r="H371" s="35">
        <v>1723500</v>
      </c>
    </row>
    <row r="372" spans="2:8" x14ac:dyDescent="0.3">
      <c r="B372" s="31">
        <v>365</v>
      </c>
      <c r="C372" s="32">
        <v>43605</v>
      </c>
      <c r="D372" s="33" t="s">
        <v>154</v>
      </c>
      <c r="E372" s="34" t="s">
        <v>155</v>
      </c>
      <c r="F372" s="31" t="s">
        <v>124</v>
      </c>
      <c r="G372" s="31" t="s">
        <v>128</v>
      </c>
      <c r="H372" s="35">
        <v>3201900</v>
      </c>
    </row>
    <row r="373" spans="2:8" x14ac:dyDescent="0.3">
      <c r="B373" s="31">
        <v>366</v>
      </c>
      <c r="C373" s="32">
        <v>43604</v>
      </c>
      <c r="D373" s="33" t="s">
        <v>167</v>
      </c>
      <c r="E373" s="34" t="s">
        <v>168</v>
      </c>
      <c r="F373" s="31" t="s">
        <v>147</v>
      </c>
      <c r="G373" s="31" t="s">
        <v>125</v>
      </c>
      <c r="H373" s="35">
        <v>4258900</v>
      </c>
    </row>
    <row r="374" spans="2:8" x14ac:dyDescent="0.3">
      <c r="B374" s="31">
        <v>367</v>
      </c>
      <c r="C374" s="32">
        <v>43609</v>
      </c>
      <c r="D374" s="33" t="s">
        <v>150</v>
      </c>
      <c r="E374" s="34" t="s">
        <v>151</v>
      </c>
      <c r="F374" s="31" t="s">
        <v>144</v>
      </c>
      <c r="G374" s="31" t="s">
        <v>158</v>
      </c>
      <c r="H374" s="35">
        <v>2102300</v>
      </c>
    </row>
    <row r="375" spans="2:8" x14ac:dyDescent="0.3">
      <c r="B375" s="31">
        <v>368</v>
      </c>
      <c r="C375" s="32">
        <v>43608</v>
      </c>
      <c r="D375" s="33" t="s">
        <v>163</v>
      </c>
      <c r="E375" s="34" t="s">
        <v>164</v>
      </c>
      <c r="F375" s="31" t="s">
        <v>124</v>
      </c>
      <c r="G375" s="31" t="s">
        <v>136</v>
      </c>
      <c r="H375" s="35">
        <v>3704800</v>
      </c>
    </row>
    <row r="376" spans="2:8" x14ac:dyDescent="0.3">
      <c r="B376" s="31">
        <v>369</v>
      </c>
      <c r="C376" s="32">
        <v>43590</v>
      </c>
      <c r="D376" s="33" t="s">
        <v>161</v>
      </c>
      <c r="E376" s="34" t="s">
        <v>162</v>
      </c>
      <c r="F376" s="31" t="s">
        <v>135</v>
      </c>
      <c r="G376" s="31" t="s">
        <v>136</v>
      </c>
      <c r="H376" s="35">
        <v>2314800</v>
      </c>
    </row>
    <row r="377" spans="2:8" x14ac:dyDescent="0.3">
      <c r="B377" s="31">
        <v>370</v>
      </c>
      <c r="C377" s="32">
        <v>43604</v>
      </c>
      <c r="D377" s="33" t="s">
        <v>154</v>
      </c>
      <c r="E377" s="34" t="s">
        <v>155</v>
      </c>
      <c r="F377" s="31" t="s">
        <v>135</v>
      </c>
      <c r="G377" s="31" t="s">
        <v>136</v>
      </c>
      <c r="H377" s="35">
        <v>3760500</v>
      </c>
    </row>
    <row r="378" spans="2:8" x14ac:dyDescent="0.3">
      <c r="B378" s="31">
        <v>371</v>
      </c>
      <c r="C378" s="32">
        <v>43598</v>
      </c>
      <c r="D378" s="33" t="s">
        <v>156</v>
      </c>
      <c r="E378" s="34" t="s">
        <v>157</v>
      </c>
      <c r="F378" s="31" t="s">
        <v>144</v>
      </c>
      <c r="G378" s="31" t="s">
        <v>158</v>
      </c>
      <c r="H378" s="35">
        <v>2923200</v>
      </c>
    </row>
    <row r="379" spans="2:8" x14ac:dyDescent="0.3">
      <c r="B379" s="31">
        <v>372</v>
      </c>
      <c r="C379" s="32">
        <v>43598</v>
      </c>
      <c r="D379" s="33" t="s">
        <v>167</v>
      </c>
      <c r="E379" s="34" t="s">
        <v>168</v>
      </c>
      <c r="F379" s="31" t="s">
        <v>144</v>
      </c>
      <c r="G379" s="31" t="s">
        <v>132</v>
      </c>
      <c r="H379" s="35">
        <v>2966400</v>
      </c>
    </row>
    <row r="380" spans="2:8" x14ac:dyDescent="0.3">
      <c r="B380" s="31">
        <v>373</v>
      </c>
      <c r="C380" s="32">
        <v>43604</v>
      </c>
      <c r="D380" s="33" t="s">
        <v>139</v>
      </c>
      <c r="E380" s="34" t="s">
        <v>140</v>
      </c>
      <c r="F380" s="31" t="s">
        <v>131</v>
      </c>
      <c r="G380" s="31" t="s">
        <v>132</v>
      </c>
      <c r="H380" s="35">
        <v>4551300</v>
      </c>
    </row>
    <row r="381" spans="2:8" x14ac:dyDescent="0.3">
      <c r="B381" s="31">
        <v>374</v>
      </c>
      <c r="C381" s="32">
        <v>43595</v>
      </c>
      <c r="D381" s="33" t="s">
        <v>161</v>
      </c>
      <c r="E381" s="34" t="s">
        <v>162</v>
      </c>
      <c r="F381" s="31" t="s">
        <v>124</v>
      </c>
      <c r="G381" s="31" t="s">
        <v>141</v>
      </c>
      <c r="H381" s="35">
        <v>2822100</v>
      </c>
    </row>
    <row r="382" spans="2:8" x14ac:dyDescent="0.3">
      <c r="B382" s="31">
        <v>375</v>
      </c>
      <c r="C382" s="32">
        <v>43584</v>
      </c>
      <c r="D382" s="33" t="s">
        <v>142</v>
      </c>
      <c r="E382" s="34" t="s">
        <v>143</v>
      </c>
      <c r="F382" s="31" t="s">
        <v>135</v>
      </c>
      <c r="G382" s="31" t="s">
        <v>132</v>
      </c>
      <c r="H382" s="35">
        <v>1745900</v>
      </c>
    </row>
    <row r="383" spans="2:8" x14ac:dyDescent="0.3">
      <c r="B383" s="31">
        <v>376</v>
      </c>
      <c r="C383" s="32">
        <v>43604</v>
      </c>
      <c r="D383" s="33" t="s">
        <v>139</v>
      </c>
      <c r="E383" s="34" t="s">
        <v>140</v>
      </c>
      <c r="F383" s="31" t="s">
        <v>131</v>
      </c>
      <c r="G383" s="31" t="s">
        <v>141</v>
      </c>
      <c r="H383" s="35">
        <v>1649600</v>
      </c>
    </row>
    <row r="384" spans="2:8" x14ac:dyDescent="0.3">
      <c r="B384" s="31">
        <v>377</v>
      </c>
      <c r="C384" s="32">
        <v>43597</v>
      </c>
      <c r="D384" s="33" t="s">
        <v>159</v>
      </c>
      <c r="E384" s="34" t="s">
        <v>160</v>
      </c>
      <c r="F384" s="31" t="s">
        <v>147</v>
      </c>
      <c r="G384" s="31" t="s">
        <v>136</v>
      </c>
      <c r="H384" s="35">
        <v>2979100</v>
      </c>
    </row>
    <row r="385" spans="2:8" x14ac:dyDescent="0.3">
      <c r="B385" s="31">
        <v>378</v>
      </c>
      <c r="C385" s="32">
        <v>43598</v>
      </c>
      <c r="D385" s="33" t="s">
        <v>167</v>
      </c>
      <c r="E385" s="34" t="s">
        <v>168</v>
      </c>
      <c r="F385" s="31" t="s">
        <v>124</v>
      </c>
      <c r="G385" s="31" t="s">
        <v>136</v>
      </c>
      <c r="H385" s="35">
        <v>3084600</v>
      </c>
    </row>
    <row r="386" spans="2:8" x14ac:dyDescent="0.3">
      <c r="B386" s="31">
        <v>379</v>
      </c>
      <c r="C386" s="32">
        <v>43595</v>
      </c>
      <c r="D386" s="33" t="s">
        <v>142</v>
      </c>
      <c r="E386" s="34" t="s">
        <v>143</v>
      </c>
      <c r="F386" s="31" t="s">
        <v>147</v>
      </c>
      <c r="G386" s="31" t="s">
        <v>125</v>
      </c>
      <c r="H386" s="35">
        <v>2786500</v>
      </c>
    </row>
    <row r="387" spans="2:8" x14ac:dyDescent="0.3">
      <c r="B387" s="31">
        <v>380</v>
      </c>
      <c r="C387" s="32">
        <v>43595</v>
      </c>
      <c r="D387" s="33" t="s">
        <v>156</v>
      </c>
      <c r="E387" s="34" t="s">
        <v>157</v>
      </c>
      <c r="F387" s="31" t="s">
        <v>131</v>
      </c>
      <c r="G387" s="31" t="s">
        <v>125</v>
      </c>
      <c r="H387" s="35">
        <v>2838700</v>
      </c>
    </row>
    <row r="388" spans="2:8" x14ac:dyDescent="0.3">
      <c r="B388" s="31">
        <v>381</v>
      </c>
      <c r="C388" s="32">
        <v>43591</v>
      </c>
      <c r="D388" s="33" t="s">
        <v>165</v>
      </c>
      <c r="E388" s="34" t="s">
        <v>166</v>
      </c>
      <c r="F388" s="31" t="s">
        <v>131</v>
      </c>
      <c r="G388" s="31" t="s">
        <v>132</v>
      </c>
      <c r="H388" s="35">
        <v>4220700</v>
      </c>
    </row>
    <row r="389" spans="2:8" x14ac:dyDescent="0.3">
      <c r="B389" s="31">
        <v>382</v>
      </c>
      <c r="C389" s="32">
        <v>43609</v>
      </c>
      <c r="D389" s="33" t="s">
        <v>156</v>
      </c>
      <c r="E389" s="34" t="s">
        <v>157</v>
      </c>
      <c r="F389" s="31" t="s">
        <v>131</v>
      </c>
      <c r="G389" s="31" t="s">
        <v>128</v>
      </c>
      <c r="H389" s="35">
        <v>3023400</v>
      </c>
    </row>
    <row r="390" spans="2:8" x14ac:dyDescent="0.3">
      <c r="B390" s="31">
        <v>383</v>
      </c>
      <c r="C390" s="32">
        <v>43611</v>
      </c>
      <c r="D390" s="33" t="s">
        <v>148</v>
      </c>
      <c r="E390" s="34" t="s">
        <v>149</v>
      </c>
      <c r="F390" s="31" t="s">
        <v>144</v>
      </c>
      <c r="G390" s="31" t="s">
        <v>132</v>
      </c>
      <c r="H390" s="35">
        <v>2971600</v>
      </c>
    </row>
    <row r="391" spans="2:8" x14ac:dyDescent="0.3">
      <c r="B391" s="31">
        <v>384</v>
      </c>
      <c r="C391" s="32">
        <v>43597</v>
      </c>
      <c r="D391" s="33" t="s">
        <v>142</v>
      </c>
      <c r="E391" s="34" t="s">
        <v>143</v>
      </c>
      <c r="F391" s="31" t="s">
        <v>144</v>
      </c>
      <c r="G391" s="31" t="s">
        <v>141</v>
      </c>
      <c r="H391" s="35">
        <v>3014200</v>
      </c>
    </row>
    <row r="392" spans="2:8" x14ac:dyDescent="0.3">
      <c r="B392" s="31">
        <v>385</v>
      </c>
      <c r="C392" s="32">
        <v>43590</v>
      </c>
      <c r="D392" s="33" t="s">
        <v>126</v>
      </c>
      <c r="E392" s="34" t="s">
        <v>127</v>
      </c>
      <c r="F392" s="31" t="s">
        <v>147</v>
      </c>
      <c r="G392" s="31" t="s">
        <v>128</v>
      </c>
      <c r="H392" s="35">
        <v>2777800</v>
      </c>
    </row>
    <row r="393" spans="2:8" x14ac:dyDescent="0.3">
      <c r="B393" s="31">
        <v>386</v>
      </c>
      <c r="C393" s="32">
        <v>43604</v>
      </c>
      <c r="D393" s="33" t="s">
        <v>152</v>
      </c>
      <c r="E393" s="34" t="s">
        <v>153</v>
      </c>
      <c r="F393" s="31" t="s">
        <v>144</v>
      </c>
      <c r="G393" s="31" t="s">
        <v>125</v>
      </c>
      <c r="H393" s="35">
        <v>2299100</v>
      </c>
    </row>
    <row r="394" spans="2:8" x14ac:dyDescent="0.3">
      <c r="B394" s="31">
        <v>387</v>
      </c>
      <c r="C394" s="32">
        <v>43587</v>
      </c>
      <c r="D394" s="33" t="s">
        <v>133</v>
      </c>
      <c r="E394" s="34" t="s">
        <v>134</v>
      </c>
      <c r="F394" s="31" t="s">
        <v>144</v>
      </c>
      <c r="G394" s="31" t="s">
        <v>136</v>
      </c>
      <c r="H394" s="35">
        <v>2136700</v>
      </c>
    </row>
    <row r="395" spans="2:8" x14ac:dyDescent="0.3">
      <c r="B395" s="31">
        <v>388</v>
      </c>
      <c r="C395" s="32">
        <v>43612</v>
      </c>
      <c r="D395" s="33" t="s">
        <v>142</v>
      </c>
      <c r="E395" s="34" t="s">
        <v>143</v>
      </c>
      <c r="F395" s="31" t="s">
        <v>147</v>
      </c>
      <c r="G395" s="31" t="s">
        <v>132</v>
      </c>
      <c r="H395" s="35">
        <v>3441900</v>
      </c>
    </row>
    <row r="396" spans="2:8" x14ac:dyDescent="0.3">
      <c r="B396" s="31">
        <v>389</v>
      </c>
      <c r="C396" s="32">
        <v>43595</v>
      </c>
      <c r="D396" s="33" t="s">
        <v>165</v>
      </c>
      <c r="E396" s="34" t="s">
        <v>166</v>
      </c>
      <c r="F396" s="31" t="s">
        <v>124</v>
      </c>
      <c r="G396" s="31" t="s">
        <v>141</v>
      </c>
      <c r="H396" s="35">
        <v>2111000</v>
      </c>
    </row>
    <row r="397" spans="2:8" x14ac:dyDescent="0.3">
      <c r="B397" s="31">
        <v>390</v>
      </c>
      <c r="C397" s="32">
        <v>43604</v>
      </c>
      <c r="D397" s="33" t="s">
        <v>165</v>
      </c>
      <c r="E397" s="34" t="s">
        <v>166</v>
      </c>
      <c r="F397" s="31" t="s">
        <v>135</v>
      </c>
      <c r="G397" s="31" t="s">
        <v>141</v>
      </c>
      <c r="H397" s="35">
        <v>2970500</v>
      </c>
    </row>
    <row r="398" spans="2:8" x14ac:dyDescent="0.3">
      <c r="B398" s="31">
        <v>391</v>
      </c>
      <c r="C398" s="32">
        <v>43590</v>
      </c>
      <c r="D398" s="33" t="s">
        <v>161</v>
      </c>
      <c r="E398" s="34" t="s">
        <v>162</v>
      </c>
      <c r="F398" s="31" t="s">
        <v>147</v>
      </c>
      <c r="G398" s="31" t="s">
        <v>141</v>
      </c>
      <c r="H398" s="35">
        <v>2810400</v>
      </c>
    </row>
    <row r="399" spans="2:8" x14ac:dyDescent="0.3">
      <c r="B399" s="31">
        <v>392</v>
      </c>
      <c r="C399" s="32">
        <v>43608</v>
      </c>
      <c r="D399" s="33" t="s">
        <v>163</v>
      </c>
      <c r="E399" s="34" t="s">
        <v>164</v>
      </c>
      <c r="F399" s="31" t="s">
        <v>124</v>
      </c>
      <c r="G399" s="31" t="s">
        <v>128</v>
      </c>
      <c r="H399" s="35">
        <v>2803900</v>
      </c>
    </row>
    <row r="400" spans="2:8" x14ac:dyDescent="0.3">
      <c r="B400" s="31">
        <v>393</v>
      </c>
      <c r="C400" s="32">
        <v>43595</v>
      </c>
      <c r="D400" s="33" t="s">
        <v>159</v>
      </c>
      <c r="E400" s="34" t="s">
        <v>160</v>
      </c>
      <c r="F400" s="31" t="s">
        <v>147</v>
      </c>
      <c r="G400" s="31" t="s">
        <v>132</v>
      </c>
      <c r="H400" s="35">
        <v>2774100</v>
      </c>
    </row>
    <row r="401" spans="2:8" x14ac:dyDescent="0.3">
      <c r="B401" s="31">
        <v>394</v>
      </c>
      <c r="C401" s="32">
        <v>43616</v>
      </c>
      <c r="D401" s="33" t="s">
        <v>159</v>
      </c>
      <c r="E401" s="34" t="s">
        <v>160</v>
      </c>
      <c r="F401" s="31" t="s">
        <v>144</v>
      </c>
      <c r="G401" s="31" t="s">
        <v>132</v>
      </c>
      <c r="H401" s="35">
        <v>2871100</v>
      </c>
    </row>
    <row r="402" spans="2:8" x14ac:dyDescent="0.3">
      <c r="B402" s="31">
        <v>395</v>
      </c>
      <c r="C402" s="32">
        <v>43615</v>
      </c>
      <c r="D402" s="33" t="s">
        <v>139</v>
      </c>
      <c r="E402" s="34" t="s">
        <v>140</v>
      </c>
      <c r="F402" s="31" t="s">
        <v>131</v>
      </c>
      <c r="G402" s="31" t="s">
        <v>128</v>
      </c>
      <c r="H402" s="35">
        <v>1830100</v>
      </c>
    </row>
    <row r="403" spans="2:8" x14ac:dyDescent="0.3">
      <c r="B403" s="31">
        <v>396</v>
      </c>
      <c r="C403" s="32">
        <v>43587</v>
      </c>
      <c r="D403" s="33" t="s">
        <v>163</v>
      </c>
      <c r="E403" s="34" t="s">
        <v>164</v>
      </c>
      <c r="F403" s="31" t="s">
        <v>131</v>
      </c>
      <c r="G403" s="31" t="s">
        <v>141</v>
      </c>
      <c r="H403" s="35">
        <v>2938600</v>
      </c>
    </row>
    <row r="404" spans="2:8" x14ac:dyDescent="0.3">
      <c r="B404" s="31">
        <v>397</v>
      </c>
      <c r="C404" s="32">
        <v>43615</v>
      </c>
      <c r="D404" s="33" t="s">
        <v>156</v>
      </c>
      <c r="E404" s="34" t="s">
        <v>157</v>
      </c>
      <c r="F404" s="31" t="s">
        <v>144</v>
      </c>
      <c r="G404" s="31" t="s">
        <v>128</v>
      </c>
      <c r="H404" s="35">
        <v>2195300</v>
      </c>
    </row>
    <row r="405" spans="2:8" x14ac:dyDescent="0.3">
      <c r="B405" s="31">
        <v>398</v>
      </c>
      <c r="C405" s="32">
        <v>43616</v>
      </c>
      <c r="D405" s="33" t="s">
        <v>159</v>
      </c>
      <c r="E405" s="34" t="s">
        <v>160</v>
      </c>
      <c r="F405" s="31" t="s">
        <v>144</v>
      </c>
      <c r="G405" s="31" t="s">
        <v>125</v>
      </c>
      <c r="H405" s="35">
        <v>2828300</v>
      </c>
    </row>
    <row r="406" spans="2:8" x14ac:dyDescent="0.3">
      <c r="B406" s="31">
        <v>399</v>
      </c>
      <c r="C406" s="32">
        <v>43594</v>
      </c>
      <c r="D406" s="33" t="s">
        <v>122</v>
      </c>
      <c r="E406" s="34" t="s">
        <v>123</v>
      </c>
      <c r="F406" s="31" t="s">
        <v>124</v>
      </c>
      <c r="G406" s="31" t="s">
        <v>136</v>
      </c>
      <c r="H406" s="35">
        <v>2222100</v>
      </c>
    </row>
    <row r="407" spans="2:8" x14ac:dyDescent="0.3">
      <c r="B407" s="31">
        <v>400</v>
      </c>
      <c r="C407" s="32">
        <v>43597</v>
      </c>
      <c r="D407" s="33" t="s">
        <v>148</v>
      </c>
      <c r="E407" s="34" t="s">
        <v>149</v>
      </c>
      <c r="F407" s="31" t="s">
        <v>124</v>
      </c>
      <c r="G407" s="31" t="s">
        <v>158</v>
      </c>
      <c r="H407" s="35">
        <v>1931100</v>
      </c>
    </row>
    <row r="408" spans="2:8" x14ac:dyDescent="0.3">
      <c r="B408" s="31">
        <v>401</v>
      </c>
      <c r="C408" s="32">
        <v>43591</v>
      </c>
      <c r="D408" s="33" t="s">
        <v>159</v>
      </c>
      <c r="E408" s="34" t="s">
        <v>160</v>
      </c>
      <c r="F408" s="31" t="s">
        <v>135</v>
      </c>
      <c r="G408" s="31" t="s">
        <v>128</v>
      </c>
      <c r="H408" s="35">
        <v>2825800</v>
      </c>
    </row>
    <row r="409" spans="2:8" x14ac:dyDescent="0.3">
      <c r="B409" s="31">
        <v>402</v>
      </c>
      <c r="C409" s="32">
        <v>43611</v>
      </c>
      <c r="D409" s="33" t="s">
        <v>133</v>
      </c>
      <c r="E409" s="34" t="s">
        <v>134</v>
      </c>
      <c r="F409" s="31" t="s">
        <v>131</v>
      </c>
      <c r="G409" s="31" t="s">
        <v>136</v>
      </c>
      <c r="H409" s="35">
        <v>3140100</v>
      </c>
    </row>
    <row r="410" spans="2:8" x14ac:dyDescent="0.3">
      <c r="B410" s="31">
        <v>403</v>
      </c>
      <c r="C410" s="32">
        <v>43596</v>
      </c>
      <c r="D410" s="33" t="s">
        <v>156</v>
      </c>
      <c r="E410" s="34" t="s">
        <v>157</v>
      </c>
      <c r="F410" s="31" t="s">
        <v>124</v>
      </c>
      <c r="G410" s="31" t="s">
        <v>136</v>
      </c>
      <c r="H410" s="35">
        <v>1835300</v>
      </c>
    </row>
    <row r="411" spans="2:8" x14ac:dyDescent="0.3">
      <c r="B411" s="31">
        <v>404</v>
      </c>
      <c r="C411" s="32">
        <v>43604</v>
      </c>
      <c r="D411" s="33" t="s">
        <v>137</v>
      </c>
      <c r="E411" s="34" t="s">
        <v>138</v>
      </c>
      <c r="F411" s="31" t="s">
        <v>124</v>
      </c>
      <c r="G411" s="31" t="s">
        <v>136</v>
      </c>
      <c r="H411" s="35">
        <v>2924000</v>
      </c>
    </row>
    <row r="412" spans="2:8" x14ac:dyDescent="0.3">
      <c r="B412" s="31">
        <v>405</v>
      </c>
      <c r="C412" s="32">
        <v>43611</v>
      </c>
      <c r="D412" s="33" t="s">
        <v>145</v>
      </c>
      <c r="E412" s="34" t="s">
        <v>146</v>
      </c>
      <c r="F412" s="31" t="s">
        <v>135</v>
      </c>
      <c r="G412" s="31" t="s">
        <v>136</v>
      </c>
      <c r="H412" s="35">
        <v>3007800</v>
      </c>
    </row>
    <row r="413" spans="2:8" x14ac:dyDescent="0.3">
      <c r="B413" s="31">
        <v>406</v>
      </c>
      <c r="C413" s="32">
        <v>43615</v>
      </c>
      <c r="D413" s="33" t="s">
        <v>159</v>
      </c>
      <c r="E413" s="34" t="s">
        <v>160</v>
      </c>
      <c r="F413" s="31" t="s">
        <v>144</v>
      </c>
      <c r="G413" s="31" t="s">
        <v>141</v>
      </c>
      <c r="H413" s="35">
        <v>2625000</v>
      </c>
    </row>
    <row r="414" spans="2:8" x14ac:dyDescent="0.3">
      <c r="B414" s="31">
        <v>407</v>
      </c>
      <c r="C414" s="32">
        <v>43612</v>
      </c>
      <c r="D414" s="33" t="s">
        <v>152</v>
      </c>
      <c r="E414" s="34" t="s">
        <v>153</v>
      </c>
      <c r="F414" s="31" t="s">
        <v>135</v>
      </c>
      <c r="G414" s="31" t="s">
        <v>125</v>
      </c>
      <c r="H414" s="35">
        <v>2815700</v>
      </c>
    </row>
    <row r="415" spans="2:8" x14ac:dyDescent="0.3">
      <c r="B415" s="31">
        <v>408</v>
      </c>
      <c r="C415" s="32">
        <v>43590</v>
      </c>
      <c r="D415" s="33" t="s">
        <v>122</v>
      </c>
      <c r="E415" s="34" t="s">
        <v>123</v>
      </c>
      <c r="F415" s="31" t="s">
        <v>144</v>
      </c>
      <c r="G415" s="31" t="s">
        <v>141</v>
      </c>
      <c r="H415" s="35">
        <v>2659600</v>
      </c>
    </row>
    <row r="416" spans="2:8" x14ac:dyDescent="0.3">
      <c r="B416" s="31">
        <v>409</v>
      </c>
      <c r="C416" s="32">
        <v>43612</v>
      </c>
      <c r="D416" s="33" t="s">
        <v>165</v>
      </c>
      <c r="E416" s="34" t="s">
        <v>166</v>
      </c>
      <c r="F416" s="31" t="s">
        <v>147</v>
      </c>
      <c r="G416" s="31" t="s">
        <v>158</v>
      </c>
      <c r="H416" s="35">
        <v>1860700</v>
      </c>
    </row>
    <row r="417" spans="2:8" x14ac:dyDescent="0.3">
      <c r="B417" s="31">
        <v>410</v>
      </c>
      <c r="C417" s="32">
        <v>43601</v>
      </c>
      <c r="D417" s="33" t="s">
        <v>163</v>
      </c>
      <c r="E417" s="34" t="s">
        <v>164</v>
      </c>
      <c r="F417" s="31" t="s">
        <v>135</v>
      </c>
      <c r="G417" s="31" t="s">
        <v>132</v>
      </c>
      <c r="H417" s="35">
        <v>2286700</v>
      </c>
    </row>
    <row r="418" spans="2:8" x14ac:dyDescent="0.3">
      <c r="B418" s="31">
        <v>411</v>
      </c>
      <c r="C418" s="32">
        <v>43591</v>
      </c>
      <c r="D418" s="33" t="s">
        <v>163</v>
      </c>
      <c r="E418" s="34" t="s">
        <v>164</v>
      </c>
      <c r="F418" s="31" t="s">
        <v>131</v>
      </c>
      <c r="G418" s="31" t="s">
        <v>158</v>
      </c>
      <c r="H418" s="35">
        <v>2290300</v>
      </c>
    </row>
    <row r="419" spans="2:8" x14ac:dyDescent="0.3">
      <c r="B419" s="31">
        <v>412</v>
      </c>
      <c r="C419" s="32">
        <v>43612</v>
      </c>
      <c r="D419" s="33" t="s">
        <v>145</v>
      </c>
      <c r="E419" s="34" t="s">
        <v>146</v>
      </c>
      <c r="F419" s="31" t="s">
        <v>124</v>
      </c>
      <c r="G419" s="31" t="s">
        <v>125</v>
      </c>
      <c r="H419" s="35">
        <v>1439500</v>
      </c>
    </row>
    <row r="420" spans="2:8" x14ac:dyDescent="0.3">
      <c r="B420" s="31">
        <v>413</v>
      </c>
      <c r="C420" s="32">
        <v>43591</v>
      </c>
      <c r="D420" s="33" t="s">
        <v>133</v>
      </c>
      <c r="E420" s="34" t="s">
        <v>134</v>
      </c>
      <c r="F420" s="31" t="s">
        <v>131</v>
      </c>
      <c r="G420" s="31" t="s">
        <v>132</v>
      </c>
      <c r="H420" s="35">
        <v>3075200</v>
      </c>
    </row>
    <row r="421" spans="2:8" x14ac:dyDescent="0.3">
      <c r="B421" s="31">
        <v>414</v>
      </c>
      <c r="C421" s="32">
        <v>43591</v>
      </c>
      <c r="D421" s="33" t="s">
        <v>133</v>
      </c>
      <c r="E421" s="34" t="s">
        <v>134</v>
      </c>
      <c r="F421" s="31" t="s">
        <v>124</v>
      </c>
      <c r="G421" s="31" t="s">
        <v>158</v>
      </c>
      <c r="H421" s="35">
        <v>2479800</v>
      </c>
    </row>
    <row r="422" spans="2:8" x14ac:dyDescent="0.3">
      <c r="B422" s="31">
        <v>415</v>
      </c>
      <c r="C422" s="32">
        <v>43601</v>
      </c>
      <c r="D422" s="33" t="s">
        <v>167</v>
      </c>
      <c r="E422" s="34" t="s">
        <v>168</v>
      </c>
      <c r="F422" s="31" t="s">
        <v>124</v>
      </c>
      <c r="G422" s="31" t="s">
        <v>141</v>
      </c>
      <c r="H422" s="35">
        <v>1743400</v>
      </c>
    </row>
    <row r="423" spans="2:8" x14ac:dyDescent="0.3">
      <c r="B423" s="31">
        <v>416</v>
      </c>
      <c r="C423" s="32">
        <v>43603</v>
      </c>
      <c r="D423" s="33" t="s">
        <v>148</v>
      </c>
      <c r="E423" s="34" t="s">
        <v>149</v>
      </c>
      <c r="F423" s="31" t="s">
        <v>124</v>
      </c>
      <c r="G423" s="31" t="s">
        <v>125</v>
      </c>
      <c r="H423" s="35">
        <v>1300400</v>
      </c>
    </row>
    <row r="424" spans="2:8" x14ac:dyDescent="0.3">
      <c r="B424" s="31">
        <v>417</v>
      </c>
      <c r="C424" s="32">
        <v>43597</v>
      </c>
      <c r="D424" s="33" t="s">
        <v>152</v>
      </c>
      <c r="E424" s="34" t="s">
        <v>153</v>
      </c>
      <c r="F424" s="31" t="s">
        <v>144</v>
      </c>
      <c r="G424" s="31" t="s">
        <v>158</v>
      </c>
      <c r="H424" s="35">
        <v>2775800</v>
      </c>
    </row>
    <row r="425" spans="2:8" x14ac:dyDescent="0.3">
      <c r="B425" s="31">
        <v>418</v>
      </c>
      <c r="C425" s="32">
        <v>43612</v>
      </c>
      <c r="D425" s="33" t="s">
        <v>165</v>
      </c>
      <c r="E425" s="34" t="s">
        <v>166</v>
      </c>
      <c r="F425" s="31" t="s">
        <v>144</v>
      </c>
      <c r="G425" s="31" t="s">
        <v>125</v>
      </c>
      <c r="H425" s="35">
        <v>4258900</v>
      </c>
    </row>
    <row r="426" spans="2:8" x14ac:dyDescent="0.3">
      <c r="B426" s="31">
        <v>419</v>
      </c>
      <c r="C426" s="32">
        <v>43597</v>
      </c>
      <c r="D426" s="33" t="s">
        <v>154</v>
      </c>
      <c r="E426" s="34" t="s">
        <v>155</v>
      </c>
      <c r="F426" s="31" t="s">
        <v>147</v>
      </c>
      <c r="G426" s="31" t="s">
        <v>158</v>
      </c>
      <c r="H426" s="35">
        <v>1702800</v>
      </c>
    </row>
    <row r="427" spans="2:8" x14ac:dyDescent="0.3">
      <c r="B427" s="31">
        <v>420</v>
      </c>
      <c r="C427" s="32">
        <v>43591</v>
      </c>
      <c r="D427" s="33" t="s">
        <v>129</v>
      </c>
      <c r="E427" s="34" t="s">
        <v>130</v>
      </c>
      <c r="F427" s="31" t="s">
        <v>124</v>
      </c>
      <c r="G427" s="31" t="s">
        <v>128</v>
      </c>
      <c r="H427" s="35">
        <v>3510600</v>
      </c>
    </row>
    <row r="428" spans="2:8" x14ac:dyDescent="0.3">
      <c r="B428" s="31">
        <v>421</v>
      </c>
      <c r="C428" s="32">
        <v>43598</v>
      </c>
      <c r="D428" s="33" t="s">
        <v>122</v>
      </c>
      <c r="E428" s="34" t="s">
        <v>123</v>
      </c>
      <c r="F428" s="31" t="s">
        <v>131</v>
      </c>
      <c r="G428" s="31" t="s">
        <v>125</v>
      </c>
      <c r="H428" s="35">
        <v>1727500</v>
      </c>
    </row>
    <row r="429" spans="2:8" x14ac:dyDescent="0.3">
      <c r="B429" s="31">
        <v>422</v>
      </c>
      <c r="C429" s="32">
        <v>43588</v>
      </c>
      <c r="D429" s="33" t="s">
        <v>165</v>
      </c>
      <c r="E429" s="34" t="s">
        <v>166</v>
      </c>
      <c r="F429" s="31" t="s">
        <v>124</v>
      </c>
      <c r="G429" s="31" t="s">
        <v>125</v>
      </c>
      <c r="H429" s="35">
        <v>3501600</v>
      </c>
    </row>
    <row r="430" spans="2:8" x14ac:dyDescent="0.3">
      <c r="B430" s="31">
        <v>423</v>
      </c>
      <c r="C430" s="32">
        <v>43612</v>
      </c>
      <c r="D430" s="33" t="s">
        <v>126</v>
      </c>
      <c r="E430" s="34" t="s">
        <v>127</v>
      </c>
      <c r="F430" s="31" t="s">
        <v>144</v>
      </c>
      <c r="G430" s="31" t="s">
        <v>136</v>
      </c>
      <c r="H430" s="35">
        <v>2586500</v>
      </c>
    </row>
    <row r="431" spans="2:8" x14ac:dyDescent="0.3">
      <c r="B431" s="31">
        <v>424</v>
      </c>
      <c r="C431" s="32">
        <v>43611</v>
      </c>
      <c r="D431" s="33" t="s">
        <v>150</v>
      </c>
      <c r="E431" s="34" t="s">
        <v>151</v>
      </c>
      <c r="F431" s="31" t="s">
        <v>135</v>
      </c>
      <c r="G431" s="31" t="s">
        <v>125</v>
      </c>
      <c r="H431" s="35">
        <v>2966400</v>
      </c>
    </row>
    <row r="432" spans="2:8" x14ac:dyDescent="0.3">
      <c r="B432" s="31">
        <v>425</v>
      </c>
      <c r="C432" s="32">
        <v>43602</v>
      </c>
      <c r="D432" s="33" t="s">
        <v>154</v>
      </c>
      <c r="E432" s="34" t="s">
        <v>155</v>
      </c>
      <c r="F432" s="31" t="s">
        <v>124</v>
      </c>
      <c r="G432" s="31" t="s">
        <v>141</v>
      </c>
      <c r="H432" s="35">
        <v>3954500</v>
      </c>
    </row>
    <row r="433" spans="2:8" x14ac:dyDescent="0.3">
      <c r="B433" s="31">
        <v>426</v>
      </c>
      <c r="C433" s="32">
        <v>43595</v>
      </c>
      <c r="D433" s="33" t="s">
        <v>142</v>
      </c>
      <c r="E433" s="34" t="s">
        <v>143</v>
      </c>
      <c r="F433" s="31" t="s">
        <v>147</v>
      </c>
      <c r="G433" s="31" t="s">
        <v>158</v>
      </c>
      <c r="H433" s="35">
        <v>2486500</v>
      </c>
    </row>
    <row r="434" spans="2:8" x14ac:dyDescent="0.3">
      <c r="B434" s="31">
        <v>427</v>
      </c>
      <c r="C434" s="32">
        <v>43590</v>
      </c>
      <c r="D434" s="33" t="s">
        <v>122</v>
      </c>
      <c r="E434" s="34" t="s">
        <v>123</v>
      </c>
      <c r="F434" s="31" t="s">
        <v>147</v>
      </c>
      <c r="G434" s="31" t="s">
        <v>132</v>
      </c>
      <c r="H434" s="35">
        <v>1201000</v>
      </c>
    </row>
    <row r="435" spans="2:8" x14ac:dyDescent="0.3">
      <c r="B435" s="31">
        <v>428</v>
      </c>
      <c r="C435" s="32">
        <v>43590</v>
      </c>
      <c r="D435" s="33" t="s">
        <v>159</v>
      </c>
      <c r="E435" s="34" t="s">
        <v>160</v>
      </c>
      <c r="F435" s="31" t="s">
        <v>124</v>
      </c>
      <c r="G435" s="31" t="s">
        <v>125</v>
      </c>
      <c r="H435" s="35">
        <v>1189000</v>
      </c>
    </row>
    <row r="436" spans="2:8" x14ac:dyDescent="0.3">
      <c r="B436" s="31">
        <v>429</v>
      </c>
      <c r="C436" s="32">
        <v>43591</v>
      </c>
      <c r="D436" s="33" t="s">
        <v>129</v>
      </c>
      <c r="E436" s="34" t="s">
        <v>130</v>
      </c>
      <c r="F436" s="31" t="s">
        <v>131</v>
      </c>
      <c r="G436" s="31" t="s">
        <v>141</v>
      </c>
      <c r="H436" s="35">
        <v>2477100</v>
      </c>
    </row>
    <row r="437" spans="2:8" x14ac:dyDescent="0.3">
      <c r="B437" s="31">
        <v>430</v>
      </c>
      <c r="C437" s="32">
        <v>43587</v>
      </c>
      <c r="D437" s="33" t="s">
        <v>163</v>
      </c>
      <c r="E437" s="34" t="s">
        <v>164</v>
      </c>
      <c r="F437" s="31" t="s">
        <v>147</v>
      </c>
      <c r="G437" s="31" t="s">
        <v>158</v>
      </c>
      <c r="H437" s="35">
        <v>2786500</v>
      </c>
    </row>
    <row r="438" spans="2:8" x14ac:dyDescent="0.3">
      <c r="B438" s="31">
        <v>431</v>
      </c>
      <c r="C438" s="32">
        <v>43590</v>
      </c>
      <c r="D438" s="33" t="s">
        <v>161</v>
      </c>
      <c r="E438" s="34" t="s">
        <v>162</v>
      </c>
      <c r="F438" s="31" t="s">
        <v>131</v>
      </c>
      <c r="G438" s="31" t="s">
        <v>136</v>
      </c>
      <c r="H438" s="35">
        <v>2611600</v>
      </c>
    </row>
    <row r="439" spans="2:8" x14ac:dyDescent="0.3">
      <c r="B439" s="31">
        <v>432</v>
      </c>
      <c r="C439" s="32">
        <v>43590</v>
      </c>
      <c r="D439" s="33" t="s">
        <v>122</v>
      </c>
      <c r="E439" s="34" t="s">
        <v>123</v>
      </c>
      <c r="F439" s="31" t="s">
        <v>124</v>
      </c>
      <c r="G439" s="31" t="s">
        <v>132</v>
      </c>
      <c r="H439" s="35">
        <v>2408200</v>
      </c>
    </row>
    <row r="440" spans="2:8" x14ac:dyDescent="0.3">
      <c r="B440" s="31">
        <v>433</v>
      </c>
      <c r="C440" s="32">
        <v>43603</v>
      </c>
      <c r="D440" s="33" t="s">
        <v>165</v>
      </c>
      <c r="E440" s="34" t="s">
        <v>166</v>
      </c>
      <c r="F440" s="31" t="s">
        <v>135</v>
      </c>
      <c r="G440" s="31" t="s">
        <v>158</v>
      </c>
      <c r="H440" s="35">
        <v>4100000</v>
      </c>
    </row>
    <row r="441" spans="2:8" x14ac:dyDescent="0.3">
      <c r="B441" s="31">
        <v>434</v>
      </c>
      <c r="C441" s="32">
        <v>43596</v>
      </c>
      <c r="D441" s="33" t="s">
        <v>145</v>
      </c>
      <c r="E441" s="34" t="s">
        <v>146</v>
      </c>
      <c r="F441" s="31" t="s">
        <v>144</v>
      </c>
      <c r="G441" s="31" t="s">
        <v>136</v>
      </c>
      <c r="H441" s="35">
        <v>2515900</v>
      </c>
    </row>
    <row r="442" spans="2:8" x14ac:dyDescent="0.3">
      <c r="B442" s="31">
        <v>435</v>
      </c>
      <c r="C442" s="32">
        <v>43604</v>
      </c>
      <c r="D442" s="33" t="s">
        <v>139</v>
      </c>
      <c r="E442" s="34" t="s">
        <v>140</v>
      </c>
      <c r="F442" s="31" t="s">
        <v>147</v>
      </c>
      <c r="G442" s="31" t="s">
        <v>132</v>
      </c>
      <c r="H442" s="35">
        <v>2800400</v>
      </c>
    </row>
    <row r="443" spans="2:8" x14ac:dyDescent="0.3">
      <c r="B443" s="31">
        <v>436</v>
      </c>
      <c r="C443" s="32">
        <v>43603</v>
      </c>
      <c r="D443" s="33" t="s">
        <v>148</v>
      </c>
      <c r="E443" s="34" t="s">
        <v>149</v>
      </c>
      <c r="F443" s="31" t="s">
        <v>144</v>
      </c>
      <c r="G443" s="31" t="s">
        <v>132</v>
      </c>
      <c r="H443" s="35">
        <v>2418500</v>
      </c>
    </row>
    <row r="444" spans="2:8" x14ac:dyDescent="0.3">
      <c r="B444" s="31">
        <v>437</v>
      </c>
      <c r="C444" s="32">
        <v>43591</v>
      </c>
      <c r="D444" s="33" t="s">
        <v>159</v>
      </c>
      <c r="E444" s="34" t="s">
        <v>160</v>
      </c>
      <c r="F444" s="31" t="s">
        <v>124</v>
      </c>
      <c r="G444" s="31" t="s">
        <v>125</v>
      </c>
      <c r="H444" s="35">
        <v>2471800</v>
      </c>
    </row>
    <row r="445" spans="2:8" x14ac:dyDescent="0.3">
      <c r="B445" s="31">
        <v>438</v>
      </c>
      <c r="C445" s="32">
        <v>43633</v>
      </c>
      <c r="D445" s="33" t="s">
        <v>145</v>
      </c>
      <c r="E445" s="34" t="s">
        <v>146</v>
      </c>
      <c r="F445" s="31" t="s">
        <v>135</v>
      </c>
      <c r="G445" s="31" t="s">
        <v>158</v>
      </c>
      <c r="H445" s="35">
        <v>1852000</v>
      </c>
    </row>
    <row r="446" spans="2:8" x14ac:dyDescent="0.3">
      <c r="B446" s="31">
        <v>439</v>
      </c>
      <c r="C446" s="32">
        <v>43643</v>
      </c>
      <c r="D446" s="33" t="s">
        <v>137</v>
      </c>
      <c r="E446" s="34" t="s">
        <v>138</v>
      </c>
      <c r="F446" s="31" t="s">
        <v>124</v>
      </c>
      <c r="G446" s="31" t="s">
        <v>132</v>
      </c>
      <c r="H446" s="35">
        <v>1698200</v>
      </c>
    </row>
    <row r="447" spans="2:8" x14ac:dyDescent="0.3">
      <c r="B447" s="31">
        <v>440</v>
      </c>
      <c r="C447" s="32">
        <v>43619</v>
      </c>
      <c r="D447" s="33" t="s">
        <v>165</v>
      </c>
      <c r="E447" s="34" t="s">
        <v>166</v>
      </c>
      <c r="F447" s="31" t="s">
        <v>135</v>
      </c>
      <c r="G447" s="31" t="s">
        <v>158</v>
      </c>
      <c r="H447" s="35">
        <v>2970400</v>
      </c>
    </row>
    <row r="448" spans="2:8" x14ac:dyDescent="0.3">
      <c r="B448" s="31">
        <v>441</v>
      </c>
      <c r="C448" s="32">
        <v>43639</v>
      </c>
      <c r="D448" s="33" t="s">
        <v>163</v>
      </c>
      <c r="E448" s="34" t="s">
        <v>164</v>
      </c>
      <c r="F448" s="31" t="s">
        <v>144</v>
      </c>
      <c r="G448" s="31" t="s">
        <v>141</v>
      </c>
      <c r="H448" s="35">
        <v>1745900</v>
      </c>
    </row>
    <row r="449" spans="2:8" x14ac:dyDescent="0.3">
      <c r="B449" s="31">
        <v>442</v>
      </c>
      <c r="C449" s="32">
        <v>43619</v>
      </c>
      <c r="D449" s="33" t="s">
        <v>165</v>
      </c>
      <c r="E449" s="34" t="s">
        <v>166</v>
      </c>
      <c r="F449" s="31" t="s">
        <v>135</v>
      </c>
      <c r="G449" s="31" t="s">
        <v>132</v>
      </c>
      <c r="H449" s="35">
        <v>2527800</v>
      </c>
    </row>
    <row r="450" spans="2:8" x14ac:dyDescent="0.3">
      <c r="B450" s="31">
        <v>443</v>
      </c>
      <c r="C450" s="32">
        <v>43619</v>
      </c>
      <c r="D450" s="33" t="s">
        <v>142</v>
      </c>
      <c r="E450" s="34" t="s">
        <v>143</v>
      </c>
      <c r="F450" s="31" t="s">
        <v>135</v>
      </c>
      <c r="G450" s="31" t="s">
        <v>136</v>
      </c>
      <c r="H450" s="35">
        <v>2420400</v>
      </c>
    </row>
    <row r="451" spans="2:8" x14ac:dyDescent="0.3">
      <c r="B451" s="31">
        <v>444</v>
      </c>
      <c r="C451" s="32">
        <v>43640</v>
      </c>
      <c r="D451" s="33" t="s">
        <v>133</v>
      </c>
      <c r="E451" s="34" t="s">
        <v>134</v>
      </c>
      <c r="F451" s="31" t="s">
        <v>147</v>
      </c>
      <c r="G451" s="31" t="s">
        <v>158</v>
      </c>
      <c r="H451" s="35">
        <v>2478000</v>
      </c>
    </row>
    <row r="452" spans="2:8" x14ac:dyDescent="0.3">
      <c r="B452" s="31">
        <v>445</v>
      </c>
      <c r="C452" s="32">
        <v>43640</v>
      </c>
      <c r="D452" s="33" t="s">
        <v>152</v>
      </c>
      <c r="E452" s="34" t="s">
        <v>153</v>
      </c>
      <c r="F452" s="31" t="s">
        <v>144</v>
      </c>
      <c r="G452" s="31" t="s">
        <v>132</v>
      </c>
      <c r="H452" s="35">
        <v>2441600</v>
      </c>
    </row>
    <row r="453" spans="2:8" x14ac:dyDescent="0.3">
      <c r="B453" s="31">
        <v>446</v>
      </c>
      <c r="C453" s="32">
        <v>43623</v>
      </c>
      <c r="D453" s="33" t="s">
        <v>161</v>
      </c>
      <c r="E453" s="34" t="s">
        <v>162</v>
      </c>
      <c r="F453" s="31" t="s">
        <v>124</v>
      </c>
      <c r="G453" s="31" t="s">
        <v>158</v>
      </c>
      <c r="H453" s="35">
        <v>2467900</v>
      </c>
    </row>
    <row r="454" spans="2:8" x14ac:dyDescent="0.3">
      <c r="B454" s="31">
        <v>447</v>
      </c>
      <c r="C454" s="32">
        <v>43626</v>
      </c>
      <c r="D454" s="33" t="s">
        <v>152</v>
      </c>
      <c r="E454" s="34" t="s">
        <v>153</v>
      </c>
      <c r="F454" s="31" t="s">
        <v>124</v>
      </c>
      <c r="G454" s="31" t="s">
        <v>132</v>
      </c>
      <c r="H454" s="35">
        <v>1392200</v>
      </c>
    </row>
    <row r="455" spans="2:8" x14ac:dyDescent="0.3">
      <c r="B455" s="31">
        <v>448</v>
      </c>
      <c r="C455" s="32">
        <v>43630</v>
      </c>
      <c r="D455" s="33" t="s">
        <v>139</v>
      </c>
      <c r="E455" s="34" t="s">
        <v>140</v>
      </c>
      <c r="F455" s="31" t="s">
        <v>147</v>
      </c>
      <c r="G455" s="31" t="s">
        <v>141</v>
      </c>
      <c r="H455" s="35">
        <v>2412400</v>
      </c>
    </row>
    <row r="456" spans="2:8" x14ac:dyDescent="0.3">
      <c r="B456" s="31">
        <v>449</v>
      </c>
      <c r="C456" s="32">
        <v>43636</v>
      </c>
      <c r="D456" s="33" t="s">
        <v>167</v>
      </c>
      <c r="E456" s="34" t="s">
        <v>168</v>
      </c>
      <c r="F456" s="31" t="s">
        <v>147</v>
      </c>
      <c r="G456" s="31" t="s">
        <v>128</v>
      </c>
      <c r="H456" s="35">
        <v>1595700</v>
      </c>
    </row>
    <row r="457" spans="2:8" x14ac:dyDescent="0.3">
      <c r="B457" s="31">
        <v>450</v>
      </c>
      <c r="C457" s="32">
        <v>43625</v>
      </c>
      <c r="D457" s="33" t="s">
        <v>142</v>
      </c>
      <c r="E457" s="34" t="s">
        <v>143</v>
      </c>
      <c r="F457" s="31" t="s">
        <v>144</v>
      </c>
      <c r="G457" s="31" t="s">
        <v>136</v>
      </c>
      <c r="H457" s="35">
        <v>2348100</v>
      </c>
    </row>
    <row r="458" spans="2:8" x14ac:dyDescent="0.3">
      <c r="B458" s="31">
        <v>451</v>
      </c>
      <c r="C458" s="32">
        <v>43625</v>
      </c>
      <c r="D458" s="33" t="s">
        <v>167</v>
      </c>
      <c r="E458" s="34" t="s">
        <v>168</v>
      </c>
      <c r="F458" s="31" t="s">
        <v>135</v>
      </c>
      <c r="G458" s="31" t="s">
        <v>141</v>
      </c>
      <c r="H458" s="35">
        <v>1750300</v>
      </c>
    </row>
    <row r="459" spans="2:8" x14ac:dyDescent="0.3">
      <c r="B459" s="31">
        <v>452</v>
      </c>
      <c r="C459" s="32">
        <v>43636</v>
      </c>
      <c r="D459" s="33" t="s">
        <v>163</v>
      </c>
      <c r="E459" s="34" t="s">
        <v>164</v>
      </c>
      <c r="F459" s="31" t="s">
        <v>124</v>
      </c>
      <c r="G459" s="31" t="s">
        <v>141</v>
      </c>
      <c r="H459" s="35">
        <v>1931100</v>
      </c>
    </row>
    <row r="460" spans="2:8" x14ac:dyDescent="0.3">
      <c r="B460" s="31">
        <v>453</v>
      </c>
      <c r="C460" s="32">
        <v>43632</v>
      </c>
      <c r="D460" s="33" t="s">
        <v>126</v>
      </c>
      <c r="E460" s="34" t="s">
        <v>127</v>
      </c>
      <c r="F460" s="31" t="s">
        <v>144</v>
      </c>
      <c r="G460" s="31" t="s">
        <v>158</v>
      </c>
      <c r="H460" s="35">
        <v>2825800</v>
      </c>
    </row>
    <row r="461" spans="2:8" x14ac:dyDescent="0.3">
      <c r="B461" s="31">
        <v>454</v>
      </c>
      <c r="C461" s="32">
        <v>43640</v>
      </c>
      <c r="D461" s="33" t="s">
        <v>148</v>
      </c>
      <c r="E461" s="34" t="s">
        <v>149</v>
      </c>
      <c r="F461" s="31" t="s">
        <v>131</v>
      </c>
      <c r="G461" s="31" t="s">
        <v>141</v>
      </c>
      <c r="H461" s="35">
        <v>2780300</v>
      </c>
    </row>
    <row r="462" spans="2:8" x14ac:dyDescent="0.3">
      <c r="B462" s="31">
        <v>455</v>
      </c>
      <c r="C462" s="32">
        <v>43643</v>
      </c>
      <c r="D462" s="33" t="s">
        <v>165</v>
      </c>
      <c r="E462" s="34" t="s">
        <v>166</v>
      </c>
      <c r="F462" s="31" t="s">
        <v>144</v>
      </c>
      <c r="G462" s="31" t="s">
        <v>128</v>
      </c>
      <c r="H462" s="35">
        <v>1296900</v>
      </c>
    </row>
    <row r="463" spans="2:8" x14ac:dyDescent="0.3">
      <c r="B463" s="31">
        <v>456</v>
      </c>
      <c r="C463" s="32">
        <v>43639</v>
      </c>
      <c r="D463" s="33" t="s">
        <v>154</v>
      </c>
      <c r="E463" s="34" t="s">
        <v>155</v>
      </c>
      <c r="F463" s="31" t="s">
        <v>131</v>
      </c>
      <c r="G463" s="31" t="s">
        <v>128</v>
      </c>
      <c r="H463" s="35">
        <v>2767900</v>
      </c>
    </row>
    <row r="464" spans="2:8" x14ac:dyDescent="0.3">
      <c r="B464" s="31">
        <v>457</v>
      </c>
      <c r="C464" s="32">
        <v>43629</v>
      </c>
      <c r="D464" s="33" t="s">
        <v>126</v>
      </c>
      <c r="E464" s="34" t="s">
        <v>127</v>
      </c>
      <c r="F464" s="31" t="s">
        <v>135</v>
      </c>
      <c r="G464" s="31" t="s">
        <v>132</v>
      </c>
      <c r="H464" s="35">
        <v>2438400</v>
      </c>
    </row>
    <row r="465" spans="2:8" x14ac:dyDescent="0.3">
      <c r="B465" s="31">
        <v>458</v>
      </c>
      <c r="C465" s="32">
        <v>43639</v>
      </c>
      <c r="D465" s="33" t="s">
        <v>137</v>
      </c>
      <c r="E465" s="34" t="s">
        <v>138</v>
      </c>
      <c r="F465" s="31" t="s">
        <v>135</v>
      </c>
      <c r="G465" s="31" t="s">
        <v>136</v>
      </c>
      <c r="H465" s="35">
        <v>2198800</v>
      </c>
    </row>
    <row r="466" spans="2:8" x14ac:dyDescent="0.3">
      <c r="B466" s="31">
        <v>459</v>
      </c>
      <c r="C466" s="32">
        <v>43636</v>
      </c>
      <c r="D466" s="33" t="s">
        <v>165</v>
      </c>
      <c r="E466" s="34" t="s">
        <v>166</v>
      </c>
      <c r="F466" s="31" t="s">
        <v>144</v>
      </c>
      <c r="G466" s="31" t="s">
        <v>136</v>
      </c>
      <c r="H466" s="35">
        <v>2468900</v>
      </c>
    </row>
    <row r="467" spans="2:8" x14ac:dyDescent="0.3">
      <c r="B467" s="31">
        <v>460</v>
      </c>
      <c r="C467" s="32">
        <v>43630</v>
      </c>
      <c r="D467" s="33" t="s">
        <v>154</v>
      </c>
      <c r="E467" s="34" t="s">
        <v>155</v>
      </c>
      <c r="F467" s="31" t="s">
        <v>131</v>
      </c>
      <c r="G467" s="31" t="s">
        <v>125</v>
      </c>
      <c r="H467" s="35">
        <v>2094100</v>
      </c>
    </row>
    <row r="468" spans="2:8" x14ac:dyDescent="0.3">
      <c r="B468" s="31">
        <v>461</v>
      </c>
      <c r="C468" s="32">
        <v>43643</v>
      </c>
      <c r="D468" s="33" t="s">
        <v>145</v>
      </c>
      <c r="E468" s="34" t="s">
        <v>146</v>
      </c>
      <c r="F468" s="31" t="s">
        <v>144</v>
      </c>
      <c r="G468" s="31" t="s">
        <v>128</v>
      </c>
      <c r="H468" s="35">
        <v>1506100</v>
      </c>
    </row>
    <row r="469" spans="2:8" x14ac:dyDescent="0.3">
      <c r="B469" s="31">
        <v>462</v>
      </c>
      <c r="C469" s="32">
        <v>43632</v>
      </c>
      <c r="D469" s="33" t="s">
        <v>167</v>
      </c>
      <c r="E469" s="34" t="s">
        <v>168</v>
      </c>
      <c r="F469" s="31" t="s">
        <v>135</v>
      </c>
      <c r="G469" s="31" t="s">
        <v>128</v>
      </c>
      <c r="H469" s="35">
        <v>2100500</v>
      </c>
    </row>
    <row r="470" spans="2:8" x14ac:dyDescent="0.3">
      <c r="B470" s="31">
        <v>463</v>
      </c>
      <c r="C470" s="32">
        <v>43638</v>
      </c>
      <c r="D470" s="33" t="s">
        <v>129</v>
      </c>
      <c r="E470" s="34" t="s">
        <v>130</v>
      </c>
      <c r="F470" s="31" t="s">
        <v>131</v>
      </c>
      <c r="G470" s="31" t="s">
        <v>141</v>
      </c>
      <c r="H470" s="35">
        <v>3000000</v>
      </c>
    </row>
    <row r="471" spans="2:8" x14ac:dyDescent="0.3">
      <c r="B471" s="31">
        <v>464</v>
      </c>
      <c r="C471" s="32">
        <v>43630</v>
      </c>
      <c r="D471" s="33" t="s">
        <v>154</v>
      </c>
      <c r="E471" s="34" t="s">
        <v>155</v>
      </c>
      <c r="F471" s="31" t="s">
        <v>124</v>
      </c>
      <c r="G471" s="31" t="s">
        <v>141</v>
      </c>
      <c r="H471" s="35">
        <v>2000000</v>
      </c>
    </row>
    <row r="472" spans="2:8" x14ac:dyDescent="0.3">
      <c r="B472" s="31">
        <v>465</v>
      </c>
      <c r="C472" s="32">
        <v>43644</v>
      </c>
      <c r="D472" s="33" t="s">
        <v>142</v>
      </c>
      <c r="E472" s="34" t="s">
        <v>143</v>
      </c>
      <c r="F472" s="31" t="s">
        <v>124</v>
      </c>
      <c r="G472" s="31" t="s">
        <v>141</v>
      </c>
      <c r="H472" s="35">
        <v>1000000</v>
      </c>
    </row>
    <row r="473" spans="2:8" x14ac:dyDescent="0.3">
      <c r="B473" s="31">
        <v>466</v>
      </c>
      <c r="C473" s="32">
        <v>43644</v>
      </c>
      <c r="D473" s="33" t="s">
        <v>165</v>
      </c>
      <c r="E473" s="34" t="s">
        <v>166</v>
      </c>
      <c r="F473" s="31" t="s">
        <v>144</v>
      </c>
      <c r="G473" s="31" t="s">
        <v>128</v>
      </c>
      <c r="H473" s="35">
        <v>2450000</v>
      </c>
    </row>
    <row r="474" spans="2:8" x14ac:dyDescent="0.3">
      <c r="B474" s="31">
        <v>467</v>
      </c>
      <c r="C474" s="32">
        <v>43624</v>
      </c>
      <c r="D474" s="33" t="s">
        <v>137</v>
      </c>
      <c r="E474" s="34" t="s">
        <v>138</v>
      </c>
      <c r="F474" s="31" t="s">
        <v>131</v>
      </c>
      <c r="G474" s="31" t="s">
        <v>125</v>
      </c>
      <c r="H474" s="35">
        <v>1900000</v>
      </c>
    </row>
    <row r="475" spans="2:8" x14ac:dyDescent="0.3">
      <c r="B475" s="31">
        <v>468</v>
      </c>
      <c r="C475" s="32">
        <v>43618</v>
      </c>
      <c r="D475" s="33" t="s">
        <v>167</v>
      </c>
      <c r="E475" s="34" t="s">
        <v>168</v>
      </c>
      <c r="F475" s="31" t="s">
        <v>144</v>
      </c>
      <c r="G475" s="31" t="s">
        <v>132</v>
      </c>
      <c r="H475" s="35">
        <v>1950000</v>
      </c>
    </row>
    <row r="476" spans="2:8" x14ac:dyDescent="0.3">
      <c r="B476" s="31">
        <v>469</v>
      </c>
      <c r="C476" s="32">
        <v>43646</v>
      </c>
      <c r="D476" s="33" t="s">
        <v>159</v>
      </c>
      <c r="E476" s="34" t="s">
        <v>160</v>
      </c>
      <c r="F476" s="31" t="s">
        <v>124</v>
      </c>
      <c r="G476" s="31" t="s">
        <v>132</v>
      </c>
      <c r="H476" s="35">
        <v>1100000</v>
      </c>
    </row>
    <row r="477" spans="2:8" x14ac:dyDescent="0.3">
      <c r="B477" s="31">
        <v>470</v>
      </c>
      <c r="C477" s="32">
        <v>43618</v>
      </c>
      <c r="D477" s="33" t="s">
        <v>161</v>
      </c>
      <c r="E477" s="34" t="s">
        <v>162</v>
      </c>
      <c r="F477" s="31" t="s">
        <v>124</v>
      </c>
      <c r="G477" s="31" t="s">
        <v>125</v>
      </c>
      <c r="H477" s="35">
        <v>2000000</v>
      </c>
    </row>
    <row r="478" spans="2:8" x14ac:dyDescent="0.3">
      <c r="B478" s="31">
        <v>471</v>
      </c>
      <c r="C478" s="32">
        <v>43639</v>
      </c>
      <c r="D478" s="33" t="s">
        <v>133</v>
      </c>
      <c r="E478" s="34" t="s">
        <v>134</v>
      </c>
      <c r="F478" s="31" t="s">
        <v>144</v>
      </c>
      <c r="G478" s="31" t="s">
        <v>136</v>
      </c>
      <c r="H478" s="35">
        <v>1100000</v>
      </c>
    </row>
    <row r="479" spans="2:8" x14ac:dyDescent="0.3">
      <c r="B479" s="31">
        <v>472</v>
      </c>
      <c r="C479" s="32">
        <v>43617</v>
      </c>
      <c r="D479" s="33" t="s">
        <v>167</v>
      </c>
      <c r="E479" s="34" t="s">
        <v>168</v>
      </c>
      <c r="F479" s="31" t="s">
        <v>124</v>
      </c>
      <c r="G479" s="31" t="s">
        <v>136</v>
      </c>
      <c r="H479" s="35">
        <v>2000000</v>
      </c>
    </row>
    <row r="480" spans="2:8" x14ac:dyDescent="0.3">
      <c r="B480" s="31">
        <v>473</v>
      </c>
      <c r="C480" s="32">
        <v>43632</v>
      </c>
      <c r="D480" s="33" t="s">
        <v>137</v>
      </c>
      <c r="E480" s="34" t="s">
        <v>138</v>
      </c>
      <c r="F480" s="31" t="s">
        <v>124</v>
      </c>
      <c r="G480" s="31" t="s">
        <v>132</v>
      </c>
      <c r="H480" s="35">
        <v>1500000</v>
      </c>
    </row>
    <row r="481" spans="2:8" x14ac:dyDescent="0.3">
      <c r="B481" s="31">
        <v>474</v>
      </c>
      <c r="C481" s="32">
        <v>43636</v>
      </c>
      <c r="D481" s="33" t="s">
        <v>161</v>
      </c>
      <c r="E481" s="34" t="s">
        <v>162</v>
      </c>
      <c r="F481" s="31" t="s">
        <v>147</v>
      </c>
      <c r="G481" s="31" t="s">
        <v>141</v>
      </c>
      <c r="H481" s="35">
        <v>1249450</v>
      </c>
    </row>
    <row r="482" spans="2:8" x14ac:dyDescent="0.3">
      <c r="B482" s="31">
        <v>475</v>
      </c>
      <c r="C482" s="32">
        <v>43632</v>
      </c>
      <c r="D482" s="33" t="s">
        <v>145</v>
      </c>
      <c r="E482" s="34" t="s">
        <v>146</v>
      </c>
      <c r="F482" s="31" t="s">
        <v>124</v>
      </c>
      <c r="G482" s="31" t="s">
        <v>158</v>
      </c>
      <c r="H482" s="35">
        <v>1852170</v>
      </c>
    </row>
    <row r="483" spans="2:8" x14ac:dyDescent="0.3">
      <c r="B483" s="31">
        <v>476</v>
      </c>
      <c r="C483" s="32">
        <v>43622</v>
      </c>
      <c r="D483" s="33" t="s">
        <v>137</v>
      </c>
      <c r="E483" s="34" t="s">
        <v>138</v>
      </c>
      <c r="F483" s="31" t="s">
        <v>147</v>
      </c>
      <c r="G483" s="31" t="s">
        <v>128</v>
      </c>
      <c r="H483" s="35">
        <v>1672190</v>
      </c>
    </row>
    <row r="484" spans="2:8" x14ac:dyDescent="0.3">
      <c r="B484" s="31">
        <v>477</v>
      </c>
      <c r="C484" s="32">
        <v>43625</v>
      </c>
      <c r="D484" s="33" t="s">
        <v>148</v>
      </c>
      <c r="E484" s="34" t="s">
        <v>149</v>
      </c>
      <c r="F484" s="31" t="s">
        <v>131</v>
      </c>
      <c r="G484" s="31" t="s">
        <v>128</v>
      </c>
      <c r="H484" s="35">
        <v>1560280</v>
      </c>
    </row>
    <row r="485" spans="2:8" x14ac:dyDescent="0.3">
      <c r="B485" s="31">
        <v>478</v>
      </c>
      <c r="C485" s="32">
        <v>43640</v>
      </c>
      <c r="D485" s="33" t="s">
        <v>126</v>
      </c>
      <c r="E485" s="34" t="s">
        <v>127</v>
      </c>
      <c r="F485" s="31" t="s">
        <v>135</v>
      </c>
      <c r="G485" s="31" t="s">
        <v>128</v>
      </c>
      <c r="H485" s="35">
        <v>1234650</v>
      </c>
    </row>
    <row r="486" spans="2:8" x14ac:dyDescent="0.3">
      <c r="B486" s="31">
        <v>479</v>
      </c>
      <c r="C486" s="32">
        <v>43619</v>
      </c>
      <c r="D486" s="33" t="s">
        <v>126</v>
      </c>
      <c r="E486" s="34" t="s">
        <v>127</v>
      </c>
      <c r="F486" s="31" t="s">
        <v>131</v>
      </c>
      <c r="G486" s="31" t="s">
        <v>136</v>
      </c>
      <c r="H486" s="35">
        <v>1366910</v>
      </c>
    </row>
    <row r="487" spans="2:8" x14ac:dyDescent="0.3">
      <c r="B487" s="31">
        <v>480</v>
      </c>
      <c r="C487" s="32">
        <v>43645</v>
      </c>
      <c r="D487" s="33" t="s">
        <v>126</v>
      </c>
      <c r="E487" s="34" t="s">
        <v>127</v>
      </c>
      <c r="F487" s="31" t="s">
        <v>131</v>
      </c>
      <c r="G487" s="31" t="s">
        <v>141</v>
      </c>
      <c r="H487" s="35">
        <v>1380160</v>
      </c>
    </row>
    <row r="488" spans="2:8" x14ac:dyDescent="0.3">
      <c r="B488" s="31">
        <v>481</v>
      </c>
      <c r="C488" s="32">
        <v>43622</v>
      </c>
      <c r="D488" s="33" t="s">
        <v>148</v>
      </c>
      <c r="E488" s="34" t="s">
        <v>149</v>
      </c>
      <c r="F488" s="31" t="s">
        <v>131</v>
      </c>
      <c r="G488" s="31" t="s">
        <v>141</v>
      </c>
      <c r="H488" s="35">
        <v>1664930</v>
      </c>
    </row>
    <row r="489" spans="2:8" x14ac:dyDescent="0.3">
      <c r="B489" s="31">
        <v>482</v>
      </c>
      <c r="C489" s="32">
        <v>43626</v>
      </c>
      <c r="D489" s="33" t="s">
        <v>152</v>
      </c>
      <c r="E489" s="34" t="s">
        <v>153</v>
      </c>
      <c r="F489" s="31" t="s">
        <v>147</v>
      </c>
      <c r="G489" s="31" t="s">
        <v>141</v>
      </c>
      <c r="H489" s="35">
        <v>1664930</v>
      </c>
    </row>
    <row r="490" spans="2:8" x14ac:dyDescent="0.3">
      <c r="B490" s="31">
        <v>483</v>
      </c>
      <c r="C490" s="32">
        <v>43618</v>
      </c>
      <c r="D490" s="33" t="s">
        <v>163</v>
      </c>
      <c r="E490" s="34" t="s">
        <v>164</v>
      </c>
      <c r="F490" s="31" t="s">
        <v>144</v>
      </c>
      <c r="G490" s="31" t="s">
        <v>158</v>
      </c>
      <c r="H490" s="35">
        <v>1731630</v>
      </c>
    </row>
    <row r="491" spans="2:8" x14ac:dyDescent="0.3">
      <c r="B491" s="31">
        <v>484</v>
      </c>
      <c r="C491" s="32">
        <v>43639</v>
      </c>
      <c r="D491" s="33" t="s">
        <v>148</v>
      </c>
      <c r="E491" s="34" t="s">
        <v>149</v>
      </c>
      <c r="F491" s="31" t="s">
        <v>135</v>
      </c>
      <c r="G491" s="31" t="s">
        <v>158</v>
      </c>
      <c r="H491" s="35">
        <v>1642890</v>
      </c>
    </row>
    <row r="492" spans="2:8" x14ac:dyDescent="0.3">
      <c r="B492" s="31">
        <v>485</v>
      </c>
      <c r="C492" s="32">
        <v>43632</v>
      </c>
      <c r="D492" s="33" t="s">
        <v>142</v>
      </c>
      <c r="E492" s="34" t="s">
        <v>143</v>
      </c>
      <c r="F492" s="31" t="s">
        <v>144</v>
      </c>
      <c r="G492" s="31" t="s">
        <v>136</v>
      </c>
      <c r="H492" s="35">
        <v>1319350</v>
      </c>
    </row>
    <row r="493" spans="2:8" x14ac:dyDescent="0.3">
      <c r="B493" s="31">
        <v>486</v>
      </c>
      <c r="C493" s="32">
        <v>43629</v>
      </c>
      <c r="D493" s="33" t="s">
        <v>167</v>
      </c>
      <c r="E493" s="34" t="s">
        <v>168</v>
      </c>
      <c r="F493" s="31" t="s">
        <v>147</v>
      </c>
      <c r="G493" s="31" t="s">
        <v>125</v>
      </c>
      <c r="H493" s="35">
        <v>1265350</v>
      </c>
    </row>
    <row r="494" spans="2:8" x14ac:dyDescent="0.3">
      <c r="B494" s="31">
        <v>487</v>
      </c>
      <c r="C494" s="32">
        <v>43619</v>
      </c>
      <c r="D494" s="33" t="s">
        <v>161</v>
      </c>
      <c r="E494" s="34" t="s">
        <v>162</v>
      </c>
      <c r="F494" s="31" t="s">
        <v>131</v>
      </c>
      <c r="G494" s="31" t="s">
        <v>158</v>
      </c>
      <c r="H494" s="35">
        <v>1253230</v>
      </c>
    </row>
    <row r="495" spans="2:8" x14ac:dyDescent="0.3">
      <c r="B495" s="31">
        <v>488</v>
      </c>
      <c r="C495" s="32">
        <v>43640</v>
      </c>
      <c r="D495" s="33" t="s">
        <v>148</v>
      </c>
      <c r="E495" s="34" t="s">
        <v>149</v>
      </c>
      <c r="F495" s="31" t="s">
        <v>135</v>
      </c>
      <c r="G495" s="31" t="s">
        <v>141</v>
      </c>
      <c r="H495" s="35">
        <v>1253230</v>
      </c>
    </row>
    <row r="496" spans="2:8" x14ac:dyDescent="0.3">
      <c r="B496" s="31">
        <v>489</v>
      </c>
      <c r="C496" s="32">
        <v>43636</v>
      </c>
      <c r="D496" s="33" t="s">
        <v>142</v>
      </c>
      <c r="E496" s="34" t="s">
        <v>143</v>
      </c>
      <c r="F496" s="31" t="s">
        <v>135</v>
      </c>
      <c r="G496" s="31" t="s">
        <v>132</v>
      </c>
      <c r="H496" s="35">
        <v>1529690</v>
      </c>
    </row>
    <row r="497" spans="2:8" x14ac:dyDescent="0.3">
      <c r="B497" s="31">
        <v>490</v>
      </c>
      <c r="C497" s="32">
        <v>43643</v>
      </c>
      <c r="D497" s="33" t="s">
        <v>159</v>
      </c>
      <c r="E497" s="34" t="s">
        <v>160</v>
      </c>
      <c r="F497" s="31" t="s">
        <v>135</v>
      </c>
      <c r="G497" s="31" t="s">
        <v>158</v>
      </c>
      <c r="H497" s="35">
        <v>1343520</v>
      </c>
    </row>
    <row r="498" spans="2:8" x14ac:dyDescent="0.3">
      <c r="B498" s="31">
        <v>491</v>
      </c>
      <c r="C498" s="32">
        <v>43637</v>
      </c>
      <c r="D498" s="33" t="s">
        <v>165</v>
      </c>
      <c r="E498" s="34" t="s">
        <v>166</v>
      </c>
      <c r="F498" s="31" t="s">
        <v>147</v>
      </c>
      <c r="G498" s="31" t="s">
        <v>141</v>
      </c>
      <c r="H498" s="35">
        <v>1747430</v>
      </c>
    </row>
    <row r="499" spans="2:8" x14ac:dyDescent="0.3">
      <c r="B499" s="31">
        <v>492</v>
      </c>
      <c r="C499" s="32">
        <v>43625</v>
      </c>
      <c r="D499" s="33" t="s">
        <v>137</v>
      </c>
      <c r="E499" s="34" t="s">
        <v>138</v>
      </c>
      <c r="F499" s="31" t="s">
        <v>124</v>
      </c>
      <c r="G499" s="31" t="s">
        <v>158</v>
      </c>
      <c r="H499" s="35">
        <v>2609170</v>
      </c>
    </row>
    <row r="500" spans="2:8" x14ac:dyDescent="0.3">
      <c r="B500" s="31">
        <v>493</v>
      </c>
      <c r="C500" s="32">
        <v>43618</v>
      </c>
      <c r="D500" s="33" t="s">
        <v>137</v>
      </c>
      <c r="E500" s="34" t="s">
        <v>138</v>
      </c>
      <c r="F500" s="31" t="s">
        <v>131</v>
      </c>
      <c r="G500" s="31" t="s">
        <v>125</v>
      </c>
      <c r="H500" s="35">
        <v>1516420</v>
      </c>
    </row>
    <row r="501" spans="2:8" x14ac:dyDescent="0.3">
      <c r="B501" s="31">
        <v>494</v>
      </c>
      <c r="C501" s="32">
        <v>43622</v>
      </c>
      <c r="D501" s="33" t="s">
        <v>122</v>
      </c>
      <c r="E501" s="34" t="s">
        <v>123</v>
      </c>
      <c r="F501" s="31" t="s">
        <v>131</v>
      </c>
      <c r="G501" s="31" t="s">
        <v>128</v>
      </c>
      <c r="H501" s="35">
        <v>1318470</v>
      </c>
    </row>
    <row r="502" spans="2:8" x14ac:dyDescent="0.3">
      <c r="B502" s="31">
        <v>495</v>
      </c>
      <c r="C502" s="32">
        <v>43618</v>
      </c>
      <c r="D502" s="33" t="s">
        <v>139</v>
      </c>
      <c r="E502" s="34" t="s">
        <v>140</v>
      </c>
      <c r="F502" s="31" t="s">
        <v>131</v>
      </c>
      <c r="G502" s="31" t="s">
        <v>128</v>
      </c>
      <c r="H502" s="35">
        <v>1233480</v>
      </c>
    </row>
    <row r="503" spans="2:8" x14ac:dyDescent="0.3">
      <c r="B503" s="31">
        <v>496</v>
      </c>
      <c r="C503" s="32">
        <v>43625</v>
      </c>
      <c r="D503" s="33" t="s">
        <v>139</v>
      </c>
      <c r="E503" s="34" t="s">
        <v>140</v>
      </c>
      <c r="F503" s="31" t="s">
        <v>135</v>
      </c>
      <c r="G503" s="31" t="s">
        <v>141</v>
      </c>
      <c r="H503" s="35">
        <v>1233480</v>
      </c>
    </row>
    <row r="504" spans="2:8" x14ac:dyDescent="0.3">
      <c r="B504" s="31">
        <v>497</v>
      </c>
      <c r="C504" s="32">
        <v>43639</v>
      </c>
      <c r="D504" s="33" t="s">
        <v>126</v>
      </c>
      <c r="E504" s="34" t="s">
        <v>127</v>
      </c>
      <c r="F504" s="31" t="s">
        <v>144</v>
      </c>
      <c r="G504" s="31" t="s">
        <v>141</v>
      </c>
      <c r="H504" s="35">
        <v>1580670</v>
      </c>
    </row>
    <row r="505" spans="2:8" x14ac:dyDescent="0.3">
      <c r="B505" s="31">
        <v>498</v>
      </c>
      <c r="C505" s="32">
        <v>43625</v>
      </c>
      <c r="D505" s="33" t="s">
        <v>137</v>
      </c>
      <c r="E505" s="34" t="s">
        <v>138</v>
      </c>
      <c r="F505" s="31" t="s">
        <v>147</v>
      </c>
      <c r="G505" s="31" t="s">
        <v>128</v>
      </c>
      <c r="H505" s="35">
        <v>1555810</v>
      </c>
    </row>
    <row r="506" spans="2:8" x14ac:dyDescent="0.3">
      <c r="B506" s="31">
        <v>499</v>
      </c>
      <c r="C506" s="32">
        <v>43631</v>
      </c>
      <c r="D506" s="33" t="s">
        <v>145</v>
      </c>
      <c r="E506" s="34" t="s">
        <v>146</v>
      </c>
      <c r="F506" s="31" t="s">
        <v>124</v>
      </c>
      <c r="G506" s="31" t="s">
        <v>158</v>
      </c>
      <c r="H506" s="35">
        <v>1555810</v>
      </c>
    </row>
    <row r="507" spans="2:8" x14ac:dyDescent="0.3">
      <c r="B507" s="31">
        <v>500</v>
      </c>
      <c r="C507" s="32">
        <v>43622</v>
      </c>
      <c r="D507" s="33" t="s">
        <v>139</v>
      </c>
      <c r="E507" s="34" t="s">
        <v>140</v>
      </c>
      <c r="F507" s="31" t="s">
        <v>124</v>
      </c>
      <c r="G507" s="31" t="s">
        <v>132</v>
      </c>
      <c r="H507" s="35">
        <v>1555880</v>
      </c>
    </row>
    <row r="508" spans="2:8" x14ac:dyDescent="0.3">
      <c r="B508" s="31">
        <v>501</v>
      </c>
      <c r="C508" s="32">
        <v>43617</v>
      </c>
      <c r="D508" s="33" t="s">
        <v>129</v>
      </c>
      <c r="E508" s="34" t="s">
        <v>130</v>
      </c>
      <c r="F508" s="31" t="s">
        <v>147</v>
      </c>
      <c r="G508" s="31" t="s">
        <v>132</v>
      </c>
      <c r="H508" s="35">
        <v>1555880</v>
      </c>
    </row>
    <row r="509" spans="2:8" x14ac:dyDescent="0.3">
      <c r="B509" s="31">
        <v>502</v>
      </c>
      <c r="C509" s="32">
        <v>43654</v>
      </c>
      <c r="D509" s="33" t="s">
        <v>129</v>
      </c>
      <c r="E509" s="34" t="s">
        <v>130</v>
      </c>
      <c r="F509" s="31" t="s">
        <v>124</v>
      </c>
      <c r="G509" s="31" t="s">
        <v>125</v>
      </c>
      <c r="H509" s="35">
        <v>1816770</v>
      </c>
    </row>
    <row r="510" spans="2:8" x14ac:dyDescent="0.3">
      <c r="B510" s="31">
        <v>503</v>
      </c>
      <c r="C510" s="32">
        <v>43654</v>
      </c>
      <c r="D510" s="33" t="s">
        <v>133</v>
      </c>
      <c r="E510" s="34" t="s">
        <v>134</v>
      </c>
      <c r="F510" s="31" t="s">
        <v>147</v>
      </c>
      <c r="G510" s="31" t="s">
        <v>128</v>
      </c>
      <c r="H510" s="35">
        <v>1608690</v>
      </c>
    </row>
    <row r="511" spans="2:8" x14ac:dyDescent="0.3">
      <c r="B511" s="31">
        <v>504</v>
      </c>
      <c r="C511" s="32">
        <v>43667</v>
      </c>
      <c r="D511" s="33" t="s">
        <v>154</v>
      </c>
      <c r="E511" s="34" t="s">
        <v>155</v>
      </c>
      <c r="F511" s="31" t="s">
        <v>144</v>
      </c>
      <c r="G511" s="31" t="s">
        <v>141</v>
      </c>
      <c r="H511" s="35">
        <v>1563690</v>
      </c>
    </row>
    <row r="512" spans="2:8" x14ac:dyDescent="0.3">
      <c r="B512" s="31">
        <v>505</v>
      </c>
      <c r="C512" s="32">
        <v>43659</v>
      </c>
      <c r="D512" s="33" t="s">
        <v>167</v>
      </c>
      <c r="E512" s="34" t="s">
        <v>168</v>
      </c>
      <c r="F512" s="31" t="s">
        <v>124</v>
      </c>
      <c r="G512" s="31" t="s">
        <v>128</v>
      </c>
      <c r="H512" s="35">
        <v>1563690</v>
      </c>
    </row>
    <row r="513" spans="2:8" x14ac:dyDescent="0.3">
      <c r="B513" s="31">
        <v>506</v>
      </c>
      <c r="C513" s="32">
        <v>43667</v>
      </c>
      <c r="D513" s="33" t="s">
        <v>161</v>
      </c>
      <c r="E513" s="34" t="s">
        <v>162</v>
      </c>
      <c r="F513" s="31" t="s">
        <v>131</v>
      </c>
      <c r="G513" s="31" t="s">
        <v>158</v>
      </c>
      <c r="H513" s="35">
        <v>1563690</v>
      </c>
    </row>
    <row r="514" spans="2:8" x14ac:dyDescent="0.3">
      <c r="B514" s="31">
        <v>507</v>
      </c>
      <c r="C514" s="32">
        <v>43653</v>
      </c>
      <c r="D514" s="33" t="s">
        <v>145</v>
      </c>
      <c r="E514" s="34" t="s">
        <v>146</v>
      </c>
      <c r="F514" s="31" t="s">
        <v>131</v>
      </c>
      <c r="G514" s="31" t="s">
        <v>141</v>
      </c>
      <c r="H514" s="35">
        <v>1233480</v>
      </c>
    </row>
    <row r="515" spans="2:8" x14ac:dyDescent="0.3">
      <c r="B515" s="31">
        <v>508</v>
      </c>
      <c r="C515" s="32">
        <v>43667</v>
      </c>
      <c r="D515" s="33" t="s">
        <v>165</v>
      </c>
      <c r="E515" s="34" t="s">
        <v>166</v>
      </c>
      <c r="F515" s="31" t="s">
        <v>144</v>
      </c>
      <c r="G515" s="31" t="s">
        <v>136</v>
      </c>
      <c r="H515" s="35">
        <v>1233480</v>
      </c>
    </row>
    <row r="516" spans="2:8" x14ac:dyDescent="0.3">
      <c r="B516" s="31">
        <v>509</v>
      </c>
      <c r="C516" s="32">
        <v>43651</v>
      </c>
      <c r="D516" s="33" t="s">
        <v>122</v>
      </c>
      <c r="E516" s="34" t="s">
        <v>123</v>
      </c>
      <c r="F516" s="31" t="s">
        <v>131</v>
      </c>
      <c r="G516" s="31" t="s">
        <v>158</v>
      </c>
      <c r="H516" s="35">
        <v>1971870</v>
      </c>
    </row>
    <row r="517" spans="2:8" x14ac:dyDescent="0.3">
      <c r="B517" s="31">
        <v>510</v>
      </c>
      <c r="C517" s="32">
        <v>43647</v>
      </c>
      <c r="D517" s="33" t="s">
        <v>133</v>
      </c>
      <c r="E517" s="34" t="s">
        <v>134</v>
      </c>
      <c r="F517" s="31" t="s">
        <v>135</v>
      </c>
      <c r="G517" s="31" t="s">
        <v>125</v>
      </c>
      <c r="H517" s="35">
        <v>1324110</v>
      </c>
    </row>
    <row r="518" spans="2:8" x14ac:dyDescent="0.3">
      <c r="B518" s="31">
        <v>511</v>
      </c>
      <c r="C518" s="32">
        <v>43667</v>
      </c>
      <c r="D518" s="33" t="s">
        <v>152</v>
      </c>
      <c r="E518" s="34" t="s">
        <v>153</v>
      </c>
      <c r="F518" s="31" t="s">
        <v>147</v>
      </c>
      <c r="G518" s="31" t="s">
        <v>136</v>
      </c>
      <c r="H518" s="35">
        <v>1490190</v>
      </c>
    </row>
    <row r="519" spans="2:8" x14ac:dyDescent="0.3">
      <c r="B519" s="31">
        <v>512</v>
      </c>
      <c r="C519" s="32">
        <v>43661</v>
      </c>
      <c r="D519" s="33" t="s">
        <v>137</v>
      </c>
      <c r="E519" s="34" t="s">
        <v>138</v>
      </c>
      <c r="F519" s="31" t="s">
        <v>131</v>
      </c>
      <c r="G519" s="31" t="s">
        <v>132</v>
      </c>
      <c r="H519" s="35">
        <v>1093520</v>
      </c>
    </row>
    <row r="520" spans="2:8" x14ac:dyDescent="0.3">
      <c r="B520" s="31">
        <v>513</v>
      </c>
      <c r="C520" s="32">
        <v>43674</v>
      </c>
      <c r="D520" s="33" t="s">
        <v>165</v>
      </c>
      <c r="E520" s="34" t="s">
        <v>166</v>
      </c>
      <c r="F520" s="31" t="s">
        <v>124</v>
      </c>
      <c r="G520" s="31" t="s">
        <v>136</v>
      </c>
      <c r="H520" s="35">
        <v>1572640</v>
      </c>
    </row>
    <row r="521" spans="2:8" x14ac:dyDescent="0.3">
      <c r="B521" s="31">
        <v>514</v>
      </c>
      <c r="C521" s="32">
        <v>43658</v>
      </c>
      <c r="D521" s="33" t="s">
        <v>145</v>
      </c>
      <c r="E521" s="34" t="s">
        <v>146</v>
      </c>
      <c r="F521" s="31" t="s">
        <v>135</v>
      </c>
      <c r="G521" s="31" t="s">
        <v>141</v>
      </c>
      <c r="H521" s="35">
        <v>1386570</v>
      </c>
    </row>
    <row r="522" spans="2:8" x14ac:dyDescent="0.3">
      <c r="B522" s="31">
        <v>515</v>
      </c>
      <c r="C522" s="32">
        <v>43673</v>
      </c>
      <c r="D522" s="33" t="s">
        <v>150</v>
      </c>
      <c r="E522" s="34" t="s">
        <v>151</v>
      </c>
      <c r="F522" s="31" t="s">
        <v>131</v>
      </c>
      <c r="G522" s="31" t="s">
        <v>132</v>
      </c>
      <c r="H522" s="35">
        <v>1319230</v>
      </c>
    </row>
    <row r="523" spans="2:8" x14ac:dyDescent="0.3">
      <c r="B523" s="31">
        <v>516</v>
      </c>
      <c r="C523" s="32">
        <v>43674</v>
      </c>
      <c r="D523" s="33" t="s">
        <v>137</v>
      </c>
      <c r="E523" s="34" t="s">
        <v>138</v>
      </c>
      <c r="F523" s="31" t="s">
        <v>131</v>
      </c>
      <c r="G523" s="31" t="s">
        <v>136</v>
      </c>
      <c r="H523" s="35">
        <v>1319230</v>
      </c>
    </row>
    <row r="524" spans="2:8" x14ac:dyDescent="0.3">
      <c r="B524" s="31">
        <v>517</v>
      </c>
      <c r="C524" s="32">
        <v>43668</v>
      </c>
      <c r="D524" s="33" t="s">
        <v>148</v>
      </c>
      <c r="E524" s="34" t="s">
        <v>149</v>
      </c>
      <c r="F524" s="31" t="s">
        <v>144</v>
      </c>
      <c r="G524" s="31" t="s">
        <v>125</v>
      </c>
      <c r="H524" s="35">
        <v>1688990</v>
      </c>
    </row>
    <row r="525" spans="2:8" x14ac:dyDescent="0.3">
      <c r="B525" s="31">
        <v>518</v>
      </c>
      <c r="C525" s="32">
        <v>43654</v>
      </c>
      <c r="D525" s="33" t="s">
        <v>163</v>
      </c>
      <c r="E525" s="34" t="s">
        <v>164</v>
      </c>
      <c r="F525" s="31" t="s">
        <v>144</v>
      </c>
      <c r="G525" s="31" t="s">
        <v>125</v>
      </c>
      <c r="H525" s="35">
        <v>1688990</v>
      </c>
    </row>
    <row r="526" spans="2:8" x14ac:dyDescent="0.3">
      <c r="B526" s="31">
        <v>519</v>
      </c>
      <c r="C526" s="32">
        <v>43659</v>
      </c>
      <c r="D526" s="33" t="s">
        <v>152</v>
      </c>
      <c r="E526" s="34" t="s">
        <v>153</v>
      </c>
      <c r="F526" s="31" t="s">
        <v>144</v>
      </c>
      <c r="G526" s="31" t="s">
        <v>132</v>
      </c>
      <c r="H526" s="35">
        <v>1650470</v>
      </c>
    </row>
    <row r="527" spans="2:8" x14ac:dyDescent="0.3">
      <c r="B527" s="31">
        <v>520</v>
      </c>
      <c r="C527" s="32">
        <v>43660</v>
      </c>
      <c r="D527" s="33" t="s">
        <v>152</v>
      </c>
      <c r="E527" s="34" t="s">
        <v>153</v>
      </c>
      <c r="F527" s="31" t="s">
        <v>147</v>
      </c>
      <c r="G527" s="31" t="s">
        <v>128</v>
      </c>
      <c r="H527" s="35">
        <v>1546790</v>
      </c>
    </row>
    <row r="528" spans="2:8" x14ac:dyDescent="0.3">
      <c r="B528" s="31">
        <v>521</v>
      </c>
      <c r="C528" s="32">
        <v>43654</v>
      </c>
      <c r="D528" s="33" t="s">
        <v>167</v>
      </c>
      <c r="E528" s="34" t="s">
        <v>168</v>
      </c>
      <c r="F528" s="31" t="s">
        <v>124</v>
      </c>
      <c r="G528" s="31" t="s">
        <v>128</v>
      </c>
      <c r="H528" s="35">
        <v>1313270</v>
      </c>
    </row>
    <row r="529" spans="2:8" x14ac:dyDescent="0.3">
      <c r="B529" s="31">
        <v>522</v>
      </c>
      <c r="C529" s="32">
        <v>43668</v>
      </c>
      <c r="D529" s="33" t="s">
        <v>122</v>
      </c>
      <c r="E529" s="34" t="s">
        <v>123</v>
      </c>
      <c r="F529" s="31" t="s">
        <v>124</v>
      </c>
      <c r="G529" s="31" t="s">
        <v>158</v>
      </c>
      <c r="H529" s="35">
        <v>1526060</v>
      </c>
    </row>
    <row r="530" spans="2:8" x14ac:dyDescent="0.3">
      <c r="B530" s="31">
        <v>523</v>
      </c>
      <c r="C530" s="32">
        <v>43661</v>
      </c>
      <c r="D530" s="33" t="s">
        <v>129</v>
      </c>
      <c r="E530" s="34" t="s">
        <v>130</v>
      </c>
      <c r="F530" s="31" t="s">
        <v>144</v>
      </c>
      <c r="G530" s="31" t="s">
        <v>141</v>
      </c>
      <c r="H530" s="35">
        <v>1313270</v>
      </c>
    </row>
    <row r="531" spans="2:8" x14ac:dyDescent="0.3">
      <c r="B531" s="31">
        <v>524</v>
      </c>
      <c r="C531" s="32">
        <v>43675</v>
      </c>
      <c r="D531" s="33" t="s">
        <v>150</v>
      </c>
      <c r="E531" s="34" t="s">
        <v>151</v>
      </c>
      <c r="F531" s="31" t="s">
        <v>147</v>
      </c>
      <c r="G531" s="31" t="s">
        <v>132</v>
      </c>
      <c r="H531" s="35">
        <v>1093520</v>
      </c>
    </row>
    <row r="532" spans="2:8" x14ac:dyDescent="0.3">
      <c r="B532" s="31">
        <v>525</v>
      </c>
      <c r="C532" s="32">
        <v>43668</v>
      </c>
      <c r="D532" s="33" t="s">
        <v>167</v>
      </c>
      <c r="E532" s="34" t="s">
        <v>168</v>
      </c>
      <c r="F532" s="31" t="s">
        <v>135</v>
      </c>
      <c r="G532" s="31" t="s">
        <v>158</v>
      </c>
      <c r="H532" s="35">
        <v>1999210</v>
      </c>
    </row>
    <row r="533" spans="2:8" x14ac:dyDescent="0.3">
      <c r="B533" s="31">
        <v>526</v>
      </c>
      <c r="C533" s="32">
        <v>43660</v>
      </c>
      <c r="D533" s="33" t="s">
        <v>129</v>
      </c>
      <c r="E533" s="34" t="s">
        <v>130</v>
      </c>
      <c r="F533" s="31" t="s">
        <v>124</v>
      </c>
      <c r="G533" s="31" t="s">
        <v>132</v>
      </c>
      <c r="H533" s="35">
        <v>1383820</v>
      </c>
    </row>
    <row r="534" spans="2:8" x14ac:dyDescent="0.3">
      <c r="B534" s="31">
        <v>527</v>
      </c>
      <c r="C534" s="32">
        <v>43667</v>
      </c>
      <c r="D534" s="33" t="s">
        <v>148</v>
      </c>
      <c r="E534" s="34" t="s">
        <v>149</v>
      </c>
      <c r="F534" s="31" t="s">
        <v>135</v>
      </c>
      <c r="G534" s="31" t="s">
        <v>141</v>
      </c>
      <c r="H534" s="35">
        <v>1285520</v>
      </c>
    </row>
    <row r="535" spans="2:8" x14ac:dyDescent="0.3">
      <c r="B535" s="31">
        <v>528</v>
      </c>
      <c r="C535" s="32">
        <v>43667</v>
      </c>
      <c r="D535" s="33" t="s">
        <v>139</v>
      </c>
      <c r="E535" s="34" t="s">
        <v>140</v>
      </c>
      <c r="F535" s="31" t="s">
        <v>131</v>
      </c>
      <c r="G535" s="31" t="s">
        <v>141</v>
      </c>
      <c r="H535" s="35">
        <v>1241940</v>
      </c>
    </row>
    <row r="536" spans="2:8" x14ac:dyDescent="0.3">
      <c r="B536" s="31">
        <v>529</v>
      </c>
      <c r="C536" s="32">
        <v>43652</v>
      </c>
      <c r="D536" s="33" t="s">
        <v>154</v>
      </c>
      <c r="E536" s="34" t="s">
        <v>155</v>
      </c>
      <c r="F536" s="31" t="s">
        <v>124</v>
      </c>
      <c r="G536" s="31" t="s">
        <v>132</v>
      </c>
      <c r="H536" s="35">
        <v>1241940</v>
      </c>
    </row>
    <row r="537" spans="2:8" x14ac:dyDescent="0.3">
      <c r="B537" s="31">
        <v>530</v>
      </c>
      <c r="C537" s="32">
        <v>43665</v>
      </c>
      <c r="D537" s="33" t="s">
        <v>122</v>
      </c>
      <c r="E537" s="34" t="s">
        <v>123</v>
      </c>
      <c r="F537" s="31" t="s">
        <v>147</v>
      </c>
      <c r="G537" s="31" t="s">
        <v>141</v>
      </c>
      <c r="H537" s="35">
        <v>1241940</v>
      </c>
    </row>
    <row r="538" spans="2:8" x14ac:dyDescent="0.3">
      <c r="B538" s="31">
        <v>531</v>
      </c>
      <c r="C538" s="32">
        <v>43667</v>
      </c>
      <c r="D538" s="33" t="s">
        <v>167</v>
      </c>
      <c r="E538" s="34" t="s">
        <v>168</v>
      </c>
      <c r="F538" s="31" t="s">
        <v>144</v>
      </c>
      <c r="G538" s="31" t="s">
        <v>141</v>
      </c>
      <c r="H538" s="35">
        <v>1763170</v>
      </c>
    </row>
    <row r="539" spans="2:8" x14ac:dyDescent="0.3">
      <c r="B539" s="31">
        <v>532</v>
      </c>
      <c r="C539" s="32">
        <v>43659</v>
      </c>
      <c r="D539" s="33" t="s">
        <v>154</v>
      </c>
      <c r="E539" s="34" t="s">
        <v>155</v>
      </c>
      <c r="F539" s="31" t="s">
        <v>124</v>
      </c>
      <c r="G539" s="31" t="s">
        <v>132</v>
      </c>
      <c r="H539" s="35">
        <v>1446380</v>
      </c>
    </row>
    <row r="540" spans="2:8" x14ac:dyDescent="0.3">
      <c r="B540" s="31">
        <v>533</v>
      </c>
      <c r="C540" s="32">
        <v>43661</v>
      </c>
      <c r="D540" s="33" t="s">
        <v>161</v>
      </c>
      <c r="E540" s="34" t="s">
        <v>162</v>
      </c>
      <c r="F540" s="31" t="s">
        <v>147</v>
      </c>
      <c r="G540" s="31" t="s">
        <v>125</v>
      </c>
      <c r="H540" s="35">
        <v>1446380</v>
      </c>
    </row>
    <row r="541" spans="2:8" x14ac:dyDescent="0.3">
      <c r="B541" s="31">
        <v>534</v>
      </c>
      <c r="C541" s="32">
        <v>43674</v>
      </c>
      <c r="D541" s="33" t="s">
        <v>122</v>
      </c>
      <c r="E541" s="34" t="s">
        <v>123</v>
      </c>
      <c r="F541" s="31" t="s">
        <v>147</v>
      </c>
      <c r="G541" s="31" t="s">
        <v>158</v>
      </c>
      <c r="H541" s="35">
        <v>1137220</v>
      </c>
    </row>
    <row r="542" spans="2:8" x14ac:dyDescent="0.3">
      <c r="B542" s="31">
        <v>535</v>
      </c>
      <c r="C542" s="32">
        <v>43666</v>
      </c>
      <c r="D542" s="33" t="s">
        <v>137</v>
      </c>
      <c r="E542" s="34" t="s">
        <v>138</v>
      </c>
      <c r="F542" s="31" t="s">
        <v>147</v>
      </c>
      <c r="G542" s="31" t="s">
        <v>132</v>
      </c>
      <c r="H542" s="35">
        <v>1137220</v>
      </c>
    </row>
    <row r="543" spans="2:8" x14ac:dyDescent="0.3">
      <c r="B543" s="31">
        <v>536</v>
      </c>
      <c r="C543" s="32">
        <v>43654</v>
      </c>
      <c r="D543" s="33" t="s">
        <v>148</v>
      </c>
      <c r="E543" s="34" t="s">
        <v>149</v>
      </c>
      <c r="F543" s="31" t="s">
        <v>144</v>
      </c>
      <c r="G543" s="31" t="s">
        <v>136</v>
      </c>
      <c r="H543" s="35">
        <v>1597080</v>
      </c>
    </row>
    <row r="544" spans="2:8" x14ac:dyDescent="0.3">
      <c r="B544" s="31">
        <v>537</v>
      </c>
      <c r="C544" s="32">
        <v>43652</v>
      </c>
      <c r="D544" s="33" t="s">
        <v>159</v>
      </c>
      <c r="E544" s="34" t="s">
        <v>160</v>
      </c>
      <c r="F544" s="31" t="s">
        <v>147</v>
      </c>
      <c r="G544" s="31" t="s">
        <v>158</v>
      </c>
      <c r="H544" s="35">
        <v>1376420</v>
      </c>
    </row>
    <row r="545" spans="2:8" x14ac:dyDescent="0.3">
      <c r="B545" s="31">
        <v>538</v>
      </c>
      <c r="C545" s="32">
        <v>43659</v>
      </c>
      <c r="D545" s="33" t="s">
        <v>145</v>
      </c>
      <c r="E545" s="34" t="s">
        <v>146</v>
      </c>
      <c r="F545" s="31" t="s">
        <v>135</v>
      </c>
      <c r="G545" s="31" t="s">
        <v>128</v>
      </c>
      <c r="H545" s="35">
        <v>1286070</v>
      </c>
    </row>
    <row r="546" spans="2:8" x14ac:dyDescent="0.3">
      <c r="B546" s="31">
        <v>539</v>
      </c>
      <c r="C546" s="32">
        <v>43654</v>
      </c>
      <c r="D546" s="33" t="s">
        <v>139</v>
      </c>
      <c r="E546" s="34" t="s">
        <v>140</v>
      </c>
      <c r="F546" s="31" t="s">
        <v>144</v>
      </c>
      <c r="G546" s="31" t="s">
        <v>158</v>
      </c>
      <c r="H546" s="35">
        <v>1286070</v>
      </c>
    </row>
    <row r="547" spans="2:8" x14ac:dyDescent="0.3">
      <c r="B547" s="31">
        <v>540</v>
      </c>
      <c r="C547" s="32">
        <v>43653</v>
      </c>
      <c r="D547" s="33" t="s">
        <v>165</v>
      </c>
      <c r="E547" s="34" t="s">
        <v>166</v>
      </c>
      <c r="F547" s="31" t="s">
        <v>147</v>
      </c>
      <c r="G547" s="31" t="s">
        <v>132</v>
      </c>
      <c r="H547" s="35">
        <v>1286070</v>
      </c>
    </row>
    <row r="548" spans="2:8" x14ac:dyDescent="0.3">
      <c r="B548" s="31">
        <v>541</v>
      </c>
      <c r="C548" s="32">
        <v>43667</v>
      </c>
      <c r="D548" s="33" t="s">
        <v>142</v>
      </c>
      <c r="E548" s="34" t="s">
        <v>143</v>
      </c>
      <c r="F548" s="31" t="s">
        <v>124</v>
      </c>
      <c r="G548" s="31" t="s">
        <v>136</v>
      </c>
      <c r="H548" s="35">
        <v>1286070</v>
      </c>
    </row>
    <row r="549" spans="2:8" x14ac:dyDescent="0.3">
      <c r="B549" s="31">
        <v>542</v>
      </c>
      <c r="C549" s="32">
        <v>43667</v>
      </c>
      <c r="D549" s="33" t="s">
        <v>156</v>
      </c>
      <c r="E549" s="34" t="s">
        <v>157</v>
      </c>
      <c r="F549" s="31" t="s">
        <v>124</v>
      </c>
      <c r="G549" s="31" t="s">
        <v>132</v>
      </c>
      <c r="H549" s="35">
        <v>1730800</v>
      </c>
    </row>
    <row r="550" spans="2:8" x14ac:dyDescent="0.3">
      <c r="B550" s="31">
        <v>543</v>
      </c>
      <c r="C550" s="32">
        <v>43659</v>
      </c>
      <c r="D550" s="33" t="s">
        <v>126</v>
      </c>
      <c r="E550" s="34" t="s">
        <v>127</v>
      </c>
      <c r="F550" s="31" t="s">
        <v>144</v>
      </c>
      <c r="G550" s="31" t="s">
        <v>158</v>
      </c>
      <c r="H550" s="35">
        <v>1730800</v>
      </c>
    </row>
    <row r="551" spans="2:8" x14ac:dyDescent="0.3">
      <c r="B551" s="31">
        <v>544</v>
      </c>
      <c r="C551" s="32">
        <v>43646</v>
      </c>
      <c r="D551" s="33" t="s">
        <v>148</v>
      </c>
      <c r="E551" s="34" t="s">
        <v>149</v>
      </c>
      <c r="F551" s="31" t="s">
        <v>135</v>
      </c>
      <c r="G551" s="31" t="s">
        <v>128</v>
      </c>
      <c r="H551" s="35">
        <v>1670060</v>
      </c>
    </row>
    <row r="552" spans="2:8" x14ac:dyDescent="0.3">
      <c r="B552" s="31">
        <v>545</v>
      </c>
      <c r="C552" s="32">
        <v>43668</v>
      </c>
      <c r="D552" s="33" t="s">
        <v>142</v>
      </c>
      <c r="E552" s="34" t="s">
        <v>143</v>
      </c>
      <c r="F552" s="31" t="s">
        <v>147</v>
      </c>
      <c r="G552" s="31" t="s">
        <v>158</v>
      </c>
      <c r="H552" s="35">
        <v>1964210</v>
      </c>
    </row>
    <row r="553" spans="2:8" x14ac:dyDescent="0.3">
      <c r="B553" s="31">
        <v>546</v>
      </c>
      <c r="C553" s="32">
        <v>43647</v>
      </c>
      <c r="D553" s="33" t="s">
        <v>152</v>
      </c>
      <c r="E553" s="34" t="s">
        <v>153</v>
      </c>
      <c r="F553" s="31" t="s">
        <v>147</v>
      </c>
      <c r="G553" s="31" t="s">
        <v>132</v>
      </c>
      <c r="H553" s="35">
        <v>417940</v>
      </c>
    </row>
    <row r="554" spans="2:8" x14ac:dyDescent="0.3">
      <c r="B554" s="31">
        <v>547</v>
      </c>
      <c r="C554" s="32">
        <v>43668</v>
      </c>
      <c r="D554" s="33" t="s">
        <v>156</v>
      </c>
      <c r="E554" s="34" t="s">
        <v>157</v>
      </c>
      <c r="F554" s="31" t="s">
        <v>147</v>
      </c>
      <c r="G554" s="31" t="s">
        <v>136</v>
      </c>
      <c r="H554" s="35">
        <v>1667710</v>
      </c>
    </row>
    <row r="555" spans="2:8" x14ac:dyDescent="0.3">
      <c r="B555" s="31">
        <v>548</v>
      </c>
      <c r="C555" s="32">
        <v>43659</v>
      </c>
      <c r="D555" s="33" t="s">
        <v>129</v>
      </c>
      <c r="E555" s="34" t="s">
        <v>130</v>
      </c>
      <c r="F555" s="31" t="s">
        <v>131</v>
      </c>
      <c r="G555" s="31" t="s">
        <v>136</v>
      </c>
      <c r="H555" s="35">
        <v>1767710</v>
      </c>
    </row>
    <row r="556" spans="2:8" x14ac:dyDescent="0.3">
      <c r="B556" s="31">
        <v>549</v>
      </c>
      <c r="C556" s="32">
        <v>43673</v>
      </c>
      <c r="D556" s="33" t="s">
        <v>159</v>
      </c>
      <c r="E556" s="34" t="s">
        <v>160</v>
      </c>
      <c r="F556" s="31" t="s">
        <v>124</v>
      </c>
      <c r="G556" s="31" t="s">
        <v>132</v>
      </c>
      <c r="H556" s="35">
        <v>1150470</v>
      </c>
    </row>
    <row r="557" spans="2:8" x14ac:dyDescent="0.3">
      <c r="B557" s="31">
        <v>550</v>
      </c>
      <c r="C557" s="32">
        <v>43659</v>
      </c>
      <c r="D557" s="33" t="s">
        <v>163</v>
      </c>
      <c r="E557" s="34" t="s">
        <v>164</v>
      </c>
      <c r="F557" s="31" t="s">
        <v>135</v>
      </c>
      <c r="G557" s="31" t="s">
        <v>158</v>
      </c>
      <c r="H557" s="35">
        <v>1649330</v>
      </c>
    </row>
    <row r="558" spans="2:8" x14ac:dyDescent="0.3">
      <c r="B558" s="31">
        <v>551</v>
      </c>
      <c r="C558" s="32">
        <v>43665</v>
      </c>
      <c r="D558" s="33" t="s">
        <v>139</v>
      </c>
      <c r="E558" s="34" t="s">
        <v>140</v>
      </c>
      <c r="F558" s="31" t="s">
        <v>144</v>
      </c>
      <c r="G558" s="31" t="s">
        <v>128</v>
      </c>
      <c r="H558" s="35">
        <v>1629510</v>
      </c>
    </row>
    <row r="559" spans="2:8" x14ac:dyDescent="0.3">
      <c r="B559" s="31">
        <v>552</v>
      </c>
      <c r="C559" s="32">
        <v>43654</v>
      </c>
      <c r="D559" s="33" t="s">
        <v>152</v>
      </c>
      <c r="E559" s="34" t="s">
        <v>153</v>
      </c>
      <c r="F559" s="31" t="s">
        <v>131</v>
      </c>
      <c r="G559" s="31" t="s">
        <v>141</v>
      </c>
      <c r="H559" s="35">
        <v>1609730</v>
      </c>
    </row>
    <row r="560" spans="2:8" x14ac:dyDescent="0.3">
      <c r="B560" s="31">
        <v>553</v>
      </c>
      <c r="C560" s="32">
        <v>43667</v>
      </c>
      <c r="D560" s="33" t="s">
        <v>133</v>
      </c>
      <c r="E560" s="34" t="s">
        <v>134</v>
      </c>
      <c r="F560" s="31" t="s">
        <v>135</v>
      </c>
      <c r="G560" s="31" t="s">
        <v>132</v>
      </c>
      <c r="H560" s="35">
        <v>1714440</v>
      </c>
    </row>
    <row r="561" spans="2:8" x14ac:dyDescent="0.3">
      <c r="B561" s="31">
        <v>554</v>
      </c>
      <c r="C561" s="32">
        <v>43668</v>
      </c>
      <c r="D561" s="33" t="s">
        <v>154</v>
      </c>
      <c r="E561" s="34" t="s">
        <v>155</v>
      </c>
      <c r="F561" s="31" t="s">
        <v>135</v>
      </c>
      <c r="G561" s="31" t="s">
        <v>132</v>
      </c>
      <c r="H561" s="35">
        <v>1892000</v>
      </c>
    </row>
    <row r="562" spans="2:8" x14ac:dyDescent="0.3">
      <c r="B562" s="31">
        <v>555</v>
      </c>
      <c r="C562" s="32">
        <v>43660</v>
      </c>
      <c r="D562" s="33" t="s">
        <v>159</v>
      </c>
      <c r="E562" s="34" t="s">
        <v>160</v>
      </c>
      <c r="F562" s="31" t="s">
        <v>131</v>
      </c>
      <c r="G562" s="31" t="s">
        <v>128</v>
      </c>
      <c r="H562" s="35">
        <v>1524010</v>
      </c>
    </row>
    <row r="563" spans="2:8" x14ac:dyDescent="0.3">
      <c r="B563" s="31">
        <v>556</v>
      </c>
      <c r="C563" s="32">
        <v>43658</v>
      </c>
      <c r="D563" s="33" t="s">
        <v>167</v>
      </c>
      <c r="E563" s="34" t="s">
        <v>168</v>
      </c>
      <c r="F563" s="31" t="s">
        <v>131</v>
      </c>
      <c r="G563" s="31" t="s">
        <v>141</v>
      </c>
      <c r="H563" s="35">
        <v>1524010</v>
      </c>
    </row>
    <row r="564" spans="2:8" x14ac:dyDescent="0.3">
      <c r="B564" s="31">
        <v>557</v>
      </c>
      <c r="C564" s="32">
        <v>43675</v>
      </c>
      <c r="D564" s="33" t="s">
        <v>148</v>
      </c>
      <c r="E564" s="34" t="s">
        <v>149</v>
      </c>
      <c r="F564" s="31" t="s">
        <v>124</v>
      </c>
      <c r="G564" s="31" t="s">
        <v>128</v>
      </c>
      <c r="H564" s="35">
        <v>1497990</v>
      </c>
    </row>
    <row r="565" spans="2:8" x14ac:dyDescent="0.3">
      <c r="B565" s="31">
        <v>558</v>
      </c>
      <c r="C565" s="32">
        <v>43667</v>
      </c>
      <c r="D565" s="33" t="s">
        <v>167</v>
      </c>
      <c r="E565" s="34" t="s">
        <v>168</v>
      </c>
      <c r="F565" s="31" t="s">
        <v>124</v>
      </c>
      <c r="G565" s="31" t="s">
        <v>128</v>
      </c>
      <c r="H565" s="35">
        <v>1497990</v>
      </c>
    </row>
    <row r="566" spans="2:8" x14ac:dyDescent="0.3">
      <c r="B566" s="31">
        <v>559</v>
      </c>
      <c r="C566" s="32">
        <v>43654</v>
      </c>
      <c r="D566" s="33" t="s">
        <v>154</v>
      </c>
      <c r="E566" s="34" t="s">
        <v>155</v>
      </c>
      <c r="F566" s="31" t="s">
        <v>131</v>
      </c>
      <c r="G566" s="31" t="s">
        <v>128</v>
      </c>
      <c r="H566" s="35">
        <v>1322560</v>
      </c>
    </row>
    <row r="567" spans="2:8" x14ac:dyDescent="0.3">
      <c r="B567" s="31">
        <v>560</v>
      </c>
      <c r="C567" s="32">
        <v>43665</v>
      </c>
      <c r="D567" s="33" t="s">
        <v>148</v>
      </c>
      <c r="E567" s="34" t="s">
        <v>149</v>
      </c>
      <c r="F567" s="31" t="s">
        <v>147</v>
      </c>
      <c r="G567" s="31" t="s">
        <v>125</v>
      </c>
      <c r="H567" s="35">
        <v>1482410</v>
      </c>
    </row>
    <row r="568" spans="2:8" x14ac:dyDescent="0.3">
      <c r="B568" s="31">
        <v>561</v>
      </c>
      <c r="C568" s="32">
        <v>43660</v>
      </c>
      <c r="D568" s="33" t="s">
        <v>148</v>
      </c>
      <c r="E568" s="34" t="s">
        <v>149</v>
      </c>
      <c r="F568" s="31" t="s">
        <v>124</v>
      </c>
      <c r="G568" s="31" t="s">
        <v>141</v>
      </c>
      <c r="H568" s="35">
        <v>1482410</v>
      </c>
    </row>
    <row r="569" spans="2:8" x14ac:dyDescent="0.3">
      <c r="B569" s="31">
        <v>562</v>
      </c>
      <c r="C569" s="32">
        <v>43661</v>
      </c>
      <c r="D569" s="33" t="s">
        <v>145</v>
      </c>
      <c r="E569" s="34" t="s">
        <v>146</v>
      </c>
      <c r="F569" s="31" t="s">
        <v>131</v>
      </c>
      <c r="G569" s="31" t="s">
        <v>132</v>
      </c>
      <c r="H569" s="35">
        <v>1402470</v>
      </c>
    </row>
    <row r="570" spans="2:8" x14ac:dyDescent="0.3">
      <c r="B570" s="31">
        <v>563</v>
      </c>
      <c r="C570" s="32">
        <v>43654</v>
      </c>
      <c r="D570" s="33" t="s">
        <v>137</v>
      </c>
      <c r="E570" s="34" t="s">
        <v>138</v>
      </c>
      <c r="F570" s="31" t="s">
        <v>124</v>
      </c>
      <c r="G570" s="31" t="s">
        <v>136</v>
      </c>
      <c r="H570" s="35">
        <v>1277570</v>
      </c>
    </row>
    <row r="571" spans="2:8" x14ac:dyDescent="0.3">
      <c r="B571" s="31">
        <v>564</v>
      </c>
      <c r="C571" s="32">
        <v>43665</v>
      </c>
      <c r="D571" s="33" t="s">
        <v>159</v>
      </c>
      <c r="E571" s="34" t="s">
        <v>160</v>
      </c>
      <c r="F571" s="31" t="s">
        <v>131</v>
      </c>
      <c r="G571" s="31" t="s">
        <v>141</v>
      </c>
      <c r="H571" s="35">
        <v>904940</v>
      </c>
    </row>
    <row r="572" spans="2:8" x14ac:dyDescent="0.3">
      <c r="B572" s="31">
        <v>565</v>
      </c>
      <c r="C572" s="32">
        <v>43654</v>
      </c>
      <c r="D572" s="33" t="s">
        <v>122</v>
      </c>
      <c r="E572" s="34" t="s">
        <v>123</v>
      </c>
      <c r="F572" s="31" t="s">
        <v>124</v>
      </c>
      <c r="G572" s="31" t="s">
        <v>125</v>
      </c>
      <c r="H572" s="35">
        <v>1513260</v>
      </c>
    </row>
    <row r="573" spans="2:8" x14ac:dyDescent="0.3">
      <c r="B573" s="31">
        <v>566</v>
      </c>
      <c r="C573" s="32">
        <v>43671</v>
      </c>
      <c r="D573" s="33" t="s">
        <v>133</v>
      </c>
      <c r="E573" s="34" t="s">
        <v>134</v>
      </c>
      <c r="F573" s="31" t="s">
        <v>147</v>
      </c>
      <c r="G573" s="31" t="s">
        <v>132</v>
      </c>
      <c r="H573" s="35">
        <v>1618040</v>
      </c>
    </row>
    <row r="574" spans="2:8" x14ac:dyDescent="0.3">
      <c r="B574" s="31">
        <v>567</v>
      </c>
      <c r="C574" s="32">
        <v>43660</v>
      </c>
      <c r="D574" s="33" t="s">
        <v>148</v>
      </c>
      <c r="E574" s="34" t="s">
        <v>149</v>
      </c>
      <c r="F574" s="31" t="s">
        <v>147</v>
      </c>
      <c r="G574" s="31" t="s">
        <v>141</v>
      </c>
      <c r="H574" s="35">
        <v>1738230</v>
      </c>
    </row>
    <row r="575" spans="2:8" x14ac:dyDescent="0.3">
      <c r="B575" s="31">
        <v>568</v>
      </c>
      <c r="C575" s="32">
        <v>43660</v>
      </c>
      <c r="D575" s="33" t="s">
        <v>161</v>
      </c>
      <c r="E575" s="34" t="s">
        <v>162</v>
      </c>
      <c r="F575" s="31" t="s">
        <v>144</v>
      </c>
      <c r="G575" s="31" t="s">
        <v>128</v>
      </c>
      <c r="H575" s="35">
        <v>1227460</v>
      </c>
    </row>
    <row r="576" spans="2:8" x14ac:dyDescent="0.3">
      <c r="B576" s="31">
        <v>569</v>
      </c>
      <c r="C576" s="32">
        <v>43653</v>
      </c>
      <c r="D576" s="33" t="s">
        <v>154</v>
      </c>
      <c r="E576" s="34" t="s">
        <v>155</v>
      </c>
      <c r="F576" s="31" t="s">
        <v>144</v>
      </c>
      <c r="G576" s="31" t="s">
        <v>132</v>
      </c>
      <c r="H576" s="35">
        <v>1176290</v>
      </c>
    </row>
    <row r="577" spans="2:8" x14ac:dyDescent="0.3">
      <c r="B577" s="31">
        <v>570</v>
      </c>
      <c r="C577" s="32">
        <v>43654</v>
      </c>
      <c r="D577" s="33" t="s">
        <v>154</v>
      </c>
      <c r="E577" s="34" t="s">
        <v>155</v>
      </c>
      <c r="F577" s="31" t="s">
        <v>124</v>
      </c>
      <c r="G577" s="31" t="s">
        <v>158</v>
      </c>
      <c r="H577" s="35">
        <v>1596210</v>
      </c>
    </row>
    <row r="578" spans="2:8" x14ac:dyDescent="0.3">
      <c r="B578" s="31">
        <v>571</v>
      </c>
      <c r="C578" s="32">
        <v>43650</v>
      </c>
      <c r="D578" s="33" t="s">
        <v>122</v>
      </c>
      <c r="E578" s="34" t="s">
        <v>123</v>
      </c>
      <c r="F578" s="31" t="s">
        <v>147</v>
      </c>
      <c r="G578" s="31" t="s">
        <v>128</v>
      </c>
      <c r="H578" s="35">
        <v>1559160</v>
      </c>
    </row>
    <row r="579" spans="2:8" x14ac:dyDescent="0.3">
      <c r="B579" s="31">
        <v>572</v>
      </c>
      <c r="C579" s="32">
        <v>43661</v>
      </c>
      <c r="D579" s="33" t="s">
        <v>163</v>
      </c>
      <c r="E579" s="34" t="s">
        <v>164</v>
      </c>
      <c r="F579" s="31" t="s">
        <v>147</v>
      </c>
      <c r="G579" s="31" t="s">
        <v>158</v>
      </c>
      <c r="H579" s="35">
        <v>1435150</v>
      </c>
    </row>
    <row r="580" spans="2:8" x14ac:dyDescent="0.3">
      <c r="B580" s="31">
        <v>573</v>
      </c>
      <c r="C580" s="32">
        <v>43667</v>
      </c>
      <c r="D580" s="33" t="s">
        <v>152</v>
      </c>
      <c r="E580" s="34" t="s">
        <v>153</v>
      </c>
      <c r="F580" s="31" t="s">
        <v>147</v>
      </c>
      <c r="G580" s="31" t="s">
        <v>125</v>
      </c>
      <c r="H580" s="35">
        <v>1473070</v>
      </c>
    </row>
    <row r="581" spans="2:8" x14ac:dyDescent="0.3">
      <c r="B581" s="31">
        <v>574</v>
      </c>
      <c r="C581" s="32">
        <v>43666</v>
      </c>
      <c r="D581" s="33" t="s">
        <v>148</v>
      </c>
      <c r="E581" s="34" t="s">
        <v>149</v>
      </c>
      <c r="F581" s="31" t="s">
        <v>147</v>
      </c>
      <c r="G581" s="31" t="s">
        <v>125</v>
      </c>
      <c r="H581" s="35">
        <v>1473070</v>
      </c>
    </row>
    <row r="582" spans="2:8" x14ac:dyDescent="0.3">
      <c r="B582" s="31">
        <v>575</v>
      </c>
      <c r="C582" s="32">
        <v>43646</v>
      </c>
      <c r="D582" s="33" t="s">
        <v>133</v>
      </c>
      <c r="E582" s="34" t="s">
        <v>134</v>
      </c>
      <c r="F582" s="31" t="s">
        <v>144</v>
      </c>
      <c r="G582" s="31" t="s">
        <v>128</v>
      </c>
      <c r="H582" s="35">
        <v>1574680</v>
      </c>
    </row>
    <row r="583" spans="2:8" x14ac:dyDescent="0.3">
      <c r="B583" s="31">
        <v>576</v>
      </c>
      <c r="C583" s="32">
        <v>43659</v>
      </c>
      <c r="D583" s="33" t="s">
        <v>167</v>
      </c>
      <c r="E583" s="34" t="s">
        <v>168</v>
      </c>
      <c r="F583" s="31" t="s">
        <v>124</v>
      </c>
      <c r="G583" s="31" t="s">
        <v>125</v>
      </c>
      <c r="H583" s="35">
        <v>1748290</v>
      </c>
    </row>
    <row r="584" spans="2:8" x14ac:dyDescent="0.3">
      <c r="B584" s="31">
        <v>577</v>
      </c>
      <c r="C584" s="32">
        <v>43688</v>
      </c>
      <c r="D584" s="33" t="s">
        <v>150</v>
      </c>
      <c r="E584" s="34" t="s">
        <v>151</v>
      </c>
      <c r="F584" s="31" t="s">
        <v>124</v>
      </c>
      <c r="G584" s="31" t="s">
        <v>136</v>
      </c>
      <c r="H584" s="35">
        <v>1214480</v>
      </c>
    </row>
    <row r="585" spans="2:8" x14ac:dyDescent="0.3">
      <c r="B585" s="31">
        <v>578</v>
      </c>
      <c r="C585" s="32">
        <v>43682</v>
      </c>
      <c r="D585" s="33" t="s">
        <v>165</v>
      </c>
      <c r="E585" s="34" t="s">
        <v>166</v>
      </c>
      <c r="F585" s="31" t="s">
        <v>124</v>
      </c>
      <c r="G585" s="31" t="s">
        <v>125</v>
      </c>
      <c r="H585" s="35">
        <v>1272350</v>
      </c>
    </row>
    <row r="586" spans="2:8" x14ac:dyDescent="0.3">
      <c r="B586" s="31">
        <v>579</v>
      </c>
      <c r="C586" s="32">
        <v>43695</v>
      </c>
      <c r="D586" s="33" t="s">
        <v>129</v>
      </c>
      <c r="E586" s="34" t="s">
        <v>130</v>
      </c>
      <c r="F586" s="31" t="s">
        <v>124</v>
      </c>
      <c r="G586" s="31" t="s">
        <v>136</v>
      </c>
      <c r="H586" s="35">
        <v>1211890</v>
      </c>
    </row>
    <row r="587" spans="2:8" x14ac:dyDescent="0.3">
      <c r="B587" s="31">
        <v>580</v>
      </c>
      <c r="C587" s="32">
        <v>43688</v>
      </c>
      <c r="D587" s="33" t="s">
        <v>167</v>
      </c>
      <c r="E587" s="34" t="s">
        <v>168</v>
      </c>
      <c r="F587" s="31" t="s">
        <v>144</v>
      </c>
      <c r="G587" s="31" t="s">
        <v>141</v>
      </c>
      <c r="H587" s="35">
        <v>1120960</v>
      </c>
    </row>
    <row r="588" spans="2:8" x14ac:dyDescent="0.3">
      <c r="B588" s="31">
        <v>581</v>
      </c>
      <c r="C588" s="32">
        <v>43694</v>
      </c>
      <c r="D588" s="33" t="s">
        <v>159</v>
      </c>
      <c r="E588" s="34" t="s">
        <v>160</v>
      </c>
      <c r="F588" s="31" t="s">
        <v>124</v>
      </c>
      <c r="G588" s="31" t="s">
        <v>132</v>
      </c>
      <c r="H588" s="35">
        <v>1788590</v>
      </c>
    </row>
    <row r="589" spans="2:8" x14ac:dyDescent="0.3">
      <c r="B589" s="31">
        <v>582</v>
      </c>
      <c r="C589" s="32">
        <v>43703</v>
      </c>
      <c r="D589" s="33" t="s">
        <v>137</v>
      </c>
      <c r="E589" s="34" t="s">
        <v>138</v>
      </c>
      <c r="F589" s="31" t="s">
        <v>135</v>
      </c>
      <c r="G589" s="31" t="s">
        <v>128</v>
      </c>
      <c r="H589" s="35">
        <v>1508720</v>
      </c>
    </row>
    <row r="590" spans="2:8" x14ac:dyDescent="0.3">
      <c r="B590" s="31">
        <v>583</v>
      </c>
      <c r="C590" s="32">
        <v>43702</v>
      </c>
      <c r="D590" s="33" t="s">
        <v>139</v>
      </c>
      <c r="E590" s="34" t="s">
        <v>140</v>
      </c>
      <c r="F590" s="31" t="s">
        <v>124</v>
      </c>
      <c r="G590" s="31" t="s">
        <v>136</v>
      </c>
      <c r="H590" s="35">
        <v>1029730</v>
      </c>
    </row>
    <row r="591" spans="2:8" x14ac:dyDescent="0.3">
      <c r="B591" s="31">
        <v>584</v>
      </c>
      <c r="C591" s="32">
        <v>43701</v>
      </c>
      <c r="D591" s="33" t="s">
        <v>154</v>
      </c>
      <c r="E591" s="34" t="s">
        <v>155</v>
      </c>
      <c r="F591" s="31" t="s">
        <v>131</v>
      </c>
      <c r="G591" s="31" t="s">
        <v>136</v>
      </c>
      <c r="H591" s="35">
        <v>1196650</v>
      </c>
    </row>
    <row r="592" spans="2:8" x14ac:dyDescent="0.3">
      <c r="B592" s="31">
        <v>585</v>
      </c>
      <c r="C592" s="32">
        <v>43692</v>
      </c>
      <c r="D592" s="33" t="s">
        <v>152</v>
      </c>
      <c r="E592" s="34" t="s">
        <v>153</v>
      </c>
      <c r="F592" s="31" t="s">
        <v>147</v>
      </c>
      <c r="G592" s="31" t="s">
        <v>136</v>
      </c>
      <c r="H592" s="35">
        <v>1387460</v>
      </c>
    </row>
    <row r="593" spans="2:8" x14ac:dyDescent="0.3">
      <c r="B593" s="31">
        <v>586</v>
      </c>
      <c r="C593" s="32">
        <v>43688</v>
      </c>
      <c r="D593" s="33" t="s">
        <v>154</v>
      </c>
      <c r="E593" s="34" t="s">
        <v>155</v>
      </c>
      <c r="F593" s="31" t="s">
        <v>135</v>
      </c>
      <c r="G593" s="31" t="s">
        <v>125</v>
      </c>
      <c r="H593" s="35">
        <v>1437300</v>
      </c>
    </row>
    <row r="594" spans="2:8" x14ac:dyDescent="0.3">
      <c r="B594" s="31">
        <v>587</v>
      </c>
      <c r="C594" s="32">
        <v>43706</v>
      </c>
      <c r="D594" s="33" t="s">
        <v>122</v>
      </c>
      <c r="E594" s="34" t="s">
        <v>123</v>
      </c>
      <c r="F594" s="31" t="s">
        <v>144</v>
      </c>
      <c r="G594" s="31" t="s">
        <v>158</v>
      </c>
      <c r="H594" s="35">
        <v>1210440</v>
      </c>
    </row>
    <row r="595" spans="2:8" x14ac:dyDescent="0.3">
      <c r="B595" s="31">
        <v>588</v>
      </c>
      <c r="C595" s="32">
        <v>43681</v>
      </c>
      <c r="D595" s="33" t="s">
        <v>142</v>
      </c>
      <c r="E595" s="34" t="s">
        <v>143</v>
      </c>
      <c r="F595" s="31" t="s">
        <v>135</v>
      </c>
      <c r="G595" s="31" t="s">
        <v>132</v>
      </c>
      <c r="H595" s="35">
        <v>1568620</v>
      </c>
    </row>
    <row r="596" spans="2:8" x14ac:dyDescent="0.3">
      <c r="B596" s="31">
        <v>589</v>
      </c>
      <c r="C596" s="32">
        <v>43701</v>
      </c>
      <c r="D596" s="33" t="s">
        <v>159</v>
      </c>
      <c r="E596" s="34" t="s">
        <v>160</v>
      </c>
      <c r="F596" s="31" t="s">
        <v>147</v>
      </c>
      <c r="G596" s="31" t="s">
        <v>158</v>
      </c>
      <c r="H596" s="35">
        <v>1587750</v>
      </c>
    </row>
    <row r="597" spans="2:8" x14ac:dyDescent="0.3">
      <c r="B597" s="31">
        <v>590</v>
      </c>
      <c r="C597" s="32">
        <v>43702</v>
      </c>
      <c r="D597" s="33" t="s">
        <v>163</v>
      </c>
      <c r="E597" s="34" t="s">
        <v>164</v>
      </c>
      <c r="F597" s="31" t="s">
        <v>131</v>
      </c>
      <c r="G597" s="31" t="s">
        <v>132</v>
      </c>
      <c r="H597" s="35">
        <v>1429180</v>
      </c>
    </row>
    <row r="598" spans="2:8" x14ac:dyDescent="0.3">
      <c r="B598" s="31">
        <v>591</v>
      </c>
      <c r="C598" s="32">
        <v>43695</v>
      </c>
      <c r="D598" s="33" t="s">
        <v>165</v>
      </c>
      <c r="E598" s="34" t="s">
        <v>166</v>
      </c>
      <c r="F598" s="31" t="s">
        <v>131</v>
      </c>
      <c r="G598" s="31" t="s">
        <v>136</v>
      </c>
      <c r="H598" s="35">
        <v>1335700</v>
      </c>
    </row>
    <row r="599" spans="2:8" x14ac:dyDescent="0.3">
      <c r="B599" s="31">
        <v>592</v>
      </c>
      <c r="C599" s="32">
        <v>43703</v>
      </c>
      <c r="D599" s="33" t="s">
        <v>159</v>
      </c>
      <c r="E599" s="34" t="s">
        <v>160</v>
      </c>
      <c r="F599" s="31" t="s">
        <v>147</v>
      </c>
      <c r="G599" s="31" t="s">
        <v>128</v>
      </c>
      <c r="H599" s="35">
        <v>1581160</v>
      </c>
    </row>
    <row r="600" spans="2:8" x14ac:dyDescent="0.3">
      <c r="B600" s="31">
        <v>593</v>
      </c>
      <c r="C600" s="32">
        <v>43688</v>
      </c>
      <c r="D600" s="33" t="s">
        <v>133</v>
      </c>
      <c r="E600" s="34" t="s">
        <v>134</v>
      </c>
      <c r="F600" s="31" t="s">
        <v>135</v>
      </c>
      <c r="G600" s="31" t="s">
        <v>132</v>
      </c>
      <c r="H600" s="35">
        <v>1677440</v>
      </c>
    </row>
    <row r="601" spans="2:8" x14ac:dyDescent="0.3">
      <c r="B601" s="31">
        <v>594</v>
      </c>
      <c r="C601" s="32">
        <v>43701</v>
      </c>
      <c r="D601" s="33" t="s">
        <v>156</v>
      </c>
      <c r="E601" s="34" t="s">
        <v>157</v>
      </c>
      <c r="F601" s="31" t="s">
        <v>147</v>
      </c>
      <c r="G601" s="31" t="s">
        <v>141</v>
      </c>
      <c r="H601" s="35">
        <v>1335700</v>
      </c>
    </row>
    <row r="602" spans="2:8" x14ac:dyDescent="0.3">
      <c r="B602" s="31">
        <v>595</v>
      </c>
      <c r="C602" s="32">
        <v>43701</v>
      </c>
      <c r="D602" s="33" t="s">
        <v>163</v>
      </c>
      <c r="E602" s="34" t="s">
        <v>164</v>
      </c>
      <c r="F602" s="31" t="s">
        <v>147</v>
      </c>
      <c r="G602" s="31" t="s">
        <v>141</v>
      </c>
      <c r="H602" s="35">
        <v>1677440</v>
      </c>
    </row>
    <row r="603" spans="2:8" x14ac:dyDescent="0.3">
      <c r="B603" s="31">
        <v>596</v>
      </c>
      <c r="C603" s="32">
        <v>43693</v>
      </c>
      <c r="D603" s="33" t="s">
        <v>126</v>
      </c>
      <c r="E603" s="34" t="s">
        <v>127</v>
      </c>
      <c r="F603" s="31" t="s">
        <v>124</v>
      </c>
      <c r="G603" s="31" t="s">
        <v>128</v>
      </c>
      <c r="H603" s="35">
        <v>1335700</v>
      </c>
    </row>
    <row r="604" spans="2:8" x14ac:dyDescent="0.3">
      <c r="B604" s="31">
        <v>597</v>
      </c>
      <c r="C604" s="32">
        <v>43682</v>
      </c>
      <c r="D604" s="33" t="s">
        <v>167</v>
      </c>
      <c r="E604" s="34" t="s">
        <v>168</v>
      </c>
      <c r="F604" s="31" t="s">
        <v>147</v>
      </c>
      <c r="G604" s="31" t="s">
        <v>125</v>
      </c>
      <c r="H604" s="35">
        <v>1429180</v>
      </c>
    </row>
    <row r="605" spans="2:8" x14ac:dyDescent="0.3">
      <c r="B605" s="31">
        <v>598</v>
      </c>
      <c r="C605" s="32">
        <v>43702</v>
      </c>
      <c r="D605" s="33" t="s">
        <v>150</v>
      </c>
      <c r="E605" s="34" t="s">
        <v>151</v>
      </c>
      <c r="F605" s="31" t="s">
        <v>131</v>
      </c>
      <c r="G605" s="31" t="s">
        <v>128</v>
      </c>
      <c r="H605" s="35">
        <v>2274310</v>
      </c>
    </row>
    <row r="606" spans="2:8" x14ac:dyDescent="0.3">
      <c r="B606" s="31">
        <v>599</v>
      </c>
      <c r="C606" s="32">
        <v>43681</v>
      </c>
      <c r="D606" s="33" t="s">
        <v>129</v>
      </c>
      <c r="E606" s="34" t="s">
        <v>130</v>
      </c>
      <c r="F606" s="31" t="s">
        <v>147</v>
      </c>
      <c r="G606" s="31" t="s">
        <v>158</v>
      </c>
      <c r="H606" s="35">
        <v>1827450</v>
      </c>
    </row>
    <row r="607" spans="2:8" x14ac:dyDescent="0.3">
      <c r="B607" s="31">
        <v>600</v>
      </c>
      <c r="C607" s="32">
        <v>43689</v>
      </c>
      <c r="D607" s="33" t="s">
        <v>122</v>
      </c>
      <c r="E607" s="34" t="s">
        <v>123</v>
      </c>
      <c r="F607" s="31" t="s">
        <v>135</v>
      </c>
      <c r="G607" s="31" t="s">
        <v>132</v>
      </c>
      <c r="H607" s="35">
        <v>1572460</v>
      </c>
    </row>
    <row r="608" spans="2:8" x14ac:dyDescent="0.3">
      <c r="B608" s="31">
        <v>601</v>
      </c>
      <c r="C608" s="32">
        <v>43706</v>
      </c>
      <c r="D608" s="33" t="s">
        <v>154</v>
      </c>
      <c r="E608" s="34" t="s">
        <v>155</v>
      </c>
      <c r="F608" s="31" t="s">
        <v>144</v>
      </c>
      <c r="G608" s="31" t="s">
        <v>128</v>
      </c>
      <c r="H608" s="35">
        <v>1226220</v>
      </c>
    </row>
    <row r="609" spans="2:8" x14ac:dyDescent="0.3">
      <c r="B609" s="31">
        <v>602</v>
      </c>
      <c r="C609" s="32">
        <v>43686</v>
      </c>
      <c r="D609" s="33" t="s">
        <v>165</v>
      </c>
      <c r="E609" s="34" t="s">
        <v>166</v>
      </c>
      <c r="F609" s="31" t="s">
        <v>147</v>
      </c>
      <c r="G609" s="31" t="s">
        <v>132</v>
      </c>
      <c r="H609" s="35">
        <v>1569950</v>
      </c>
    </row>
    <row r="610" spans="2:8" x14ac:dyDescent="0.3">
      <c r="B610" s="31">
        <v>603</v>
      </c>
      <c r="C610" s="32">
        <v>43707</v>
      </c>
      <c r="D610" s="33" t="s">
        <v>163</v>
      </c>
      <c r="E610" s="34" t="s">
        <v>164</v>
      </c>
      <c r="F610" s="31" t="s">
        <v>144</v>
      </c>
      <c r="G610" s="31" t="s">
        <v>141</v>
      </c>
      <c r="H610" s="35">
        <v>2105320</v>
      </c>
    </row>
    <row r="611" spans="2:8" x14ac:dyDescent="0.3">
      <c r="B611" s="31">
        <v>604</v>
      </c>
      <c r="C611" s="32">
        <v>43689</v>
      </c>
      <c r="D611" s="33" t="s">
        <v>139</v>
      </c>
      <c r="E611" s="34" t="s">
        <v>140</v>
      </c>
      <c r="F611" s="31" t="s">
        <v>124</v>
      </c>
      <c r="G611" s="31" t="s">
        <v>132</v>
      </c>
      <c r="H611" s="35">
        <v>1768030</v>
      </c>
    </row>
    <row r="612" spans="2:8" x14ac:dyDescent="0.3">
      <c r="B612" s="31">
        <v>605</v>
      </c>
      <c r="C612" s="32">
        <v>43685</v>
      </c>
      <c r="D612" s="33" t="s">
        <v>163</v>
      </c>
      <c r="E612" s="34" t="s">
        <v>164</v>
      </c>
      <c r="F612" s="31" t="s">
        <v>147</v>
      </c>
      <c r="G612" s="31" t="s">
        <v>125</v>
      </c>
      <c r="H612" s="35">
        <v>1711250</v>
      </c>
    </row>
    <row r="613" spans="2:8" x14ac:dyDescent="0.3">
      <c r="B613" s="31">
        <v>606</v>
      </c>
      <c r="C613" s="32">
        <v>43695</v>
      </c>
      <c r="D613" s="33" t="s">
        <v>163</v>
      </c>
      <c r="E613" s="34" t="s">
        <v>164</v>
      </c>
      <c r="F613" s="31" t="s">
        <v>144</v>
      </c>
      <c r="G613" s="31" t="s">
        <v>158</v>
      </c>
      <c r="H613" s="35">
        <v>1650990</v>
      </c>
    </row>
    <row r="614" spans="2:8" x14ac:dyDescent="0.3">
      <c r="B614" s="31">
        <v>607</v>
      </c>
      <c r="C614" s="32">
        <v>43678</v>
      </c>
      <c r="D614" s="33" t="s">
        <v>161</v>
      </c>
      <c r="E614" s="34" t="s">
        <v>162</v>
      </c>
      <c r="F614" s="31" t="s">
        <v>144</v>
      </c>
      <c r="G614" s="31" t="s">
        <v>125</v>
      </c>
      <c r="H614" s="35">
        <v>1569950</v>
      </c>
    </row>
    <row r="615" spans="2:8" x14ac:dyDescent="0.3">
      <c r="B615" s="31">
        <v>608</v>
      </c>
      <c r="C615" s="32">
        <v>43682</v>
      </c>
      <c r="D615" s="33" t="s">
        <v>156</v>
      </c>
      <c r="E615" s="34" t="s">
        <v>157</v>
      </c>
      <c r="F615" s="31" t="s">
        <v>131</v>
      </c>
      <c r="G615" s="31" t="s">
        <v>132</v>
      </c>
      <c r="H615" s="35">
        <v>1550000</v>
      </c>
    </row>
    <row r="616" spans="2:8" x14ac:dyDescent="0.3">
      <c r="B616" s="31">
        <v>609</v>
      </c>
      <c r="C616" s="32">
        <v>43702</v>
      </c>
      <c r="D616" s="33" t="s">
        <v>133</v>
      </c>
      <c r="E616" s="34" t="s">
        <v>134</v>
      </c>
      <c r="F616" s="31" t="s">
        <v>147</v>
      </c>
      <c r="G616" s="31" t="s">
        <v>141</v>
      </c>
      <c r="H616" s="35">
        <v>2056460</v>
      </c>
    </row>
    <row r="617" spans="2:8" x14ac:dyDescent="0.3">
      <c r="B617" s="31">
        <v>610</v>
      </c>
      <c r="C617" s="32">
        <v>43696</v>
      </c>
      <c r="D617" s="33" t="s">
        <v>163</v>
      </c>
      <c r="E617" s="34" t="s">
        <v>164</v>
      </c>
      <c r="F617" s="31" t="s">
        <v>131</v>
      </c>
      <c r="G617" s="31" t="s">
        <v>132</v>
      </c>
      <c r="H617" s="35">
        <v>2036390</v>
      </c>
    </row>
    <row r="618" spans="2:8" x14ac:dyDescent="0.3">
      <c r="B618" s="31">
        <v>611</v>
      </c>
      <c r="C618" s="32">
        <v>43696</v>
      </c>
      <c r="D618" s="33" t="s">
        <v>148</v>
      </c>
      <c r="E618" s="34" t="s">
        <v>149</v>
      </c>
      <c r="F618" s="31" t="s">
        <v>147</v>
      </c>
      <c r="G618" s="31" t="s">
        <v>128</v>
      </c>
      <c r="H618" s="35">
        <v>1855830</v>
      </c>
    </row>
    <row r="619" spans="2:8" x14ac:dyDescent="0.3">
      <c r="B619" s="31">
        <v>612</v>
      </c>
      <c r="C619" s="32">
        <v>43682</v>
      </c>
      <c r="D619" s="33" t="s">
        <v>126</v>
      </c>
      <c r="E619" s="34" t="s">
        <v>127</v>
      </c>
      <c r="F619" s="31" t="s">
        <v>144</v>
      </c>
      <c r="G619" s="31" t="s">
        <v>128</v>
      </c>
      <c r="H619" s="35">
        <v>1633600</v>
      </c>
    </row>
    <row r="620" spans="2:8" x14ac:dyDescent="0.3">
      <c r="B620" s="31">
        <v>613</v>
      </c>
      <c r="C620" s="32">
        <v>43685</v>
      </c>
      <c r="D620" s="33" t="s">
        <v>159</v>
      </c>
      <c r="E620" s="34" t="s">
        <v>160</v>
      </c>
      <c r="F620" s="31" t="s">
        <v>131</v>
      </c>
      <c r="G620" s="31" t="s">
        <v>132</v>
      </c>
      <c r="H620" s="35">
        <v>1870000</v>
      </c>
    </row>
    <row r="621" spans="2:8" x14ac:dyDescent="0.3">
      <c r="B621" s="31">
        <v>614</v>
      </c>
      <c r="C621" s="32">
        <v>43700</v>
      </c>
      <c r="D621" s="33" t="s">
        <v>139</v>
      </c>
      <c r="E621" s="34" t="s">
        <v>140</v>
      </c>
      <c r="F621" s="31" t="s">
        <v>147</v>
      </c>
      <c r="G621" s="31" t="s">
        <v>128</v>
      </c>
      <c r="H621" s="35">
        <v>1800490</v>
      </c>
    </row>
    <row r="622" spans="2:8" x14ac:dyDescent="0.3">
      <c r="B622" s="31">
        <v>615</v>
      </c>
      <c r="C622" s="32">
        <v>43688</v>
      </c>
      <c r="D622" s="33" t="s">
        <v>137</v>
      </c>
      <c r="E622" s="34" t="s">
        <v>138</v>
      </c>
      <c r="F622" s="31" t="s">
        <v>131</v>
      </c>
      <c r="G622" s="31" t="s">
        <v>132</v>
      </c>
      <c r="H622" s="35">
        <v>1800490</v>
      </c>
    </row>
    <row r="623" spans="2:8" x14ac:dyDescent="0.3">
      <c r="B623" s="31">
        <v>616</v>
      </c>
      <c r="C623" s="32">
        <v>43731</v>
      </c>
      <c r="D623" s="33" t="s">
        <v>142</v>
      </c>
      <c r="E623" s="34" t="s">
        <v>143</v>
      </c>
      <c r="F623" s="31" t="s">
        <v>135</v>
      </c>
      <c r="G623" s="31" t="s">
        <v>141</v>
      </c>
      <c r="H623" s="35">
        <v>1800490</v>
      </c>
    </row>
    <row r="624" spans="2:8" x14ac:dyDescent="0.3">
      <c r="B624" s="31">
        <v>617</v>
      </c>
      <c r="C624" s="32">
        <v>43723</v>
      </c>
      <c r="D624" s="33" t="s">
        <v>129</v>
      </c>
      <c r="E624" s="34" t="s">
        <v>130</v>
      </c>
      <c r="F624" s="31" t="s">
        <v>144</v>
      </c>
      <c r="G624" s="31" t="s">
        <v>136</v>
      </c>
      <c r="H624" s="35">
        <v>1800490</v>
      </c>
    </row>
    <row r="625" spans="2:8" x14ac:dyDescent="0.3">
      <c r="B625" s="31">
        <v>618</v>
      </c>
      <c r="C625" s="32">
        <v>43724</v>
      </c>
      <c r="D625" s="33" t="s">
        <v>165</v>
      </c>
      <c r="E625" s="34" t="s">
        <v>166</v>
      </c>
      <c r="F625" s="31" t="s">
        <v>144</v>
      </c>
      <c r="G625" s="31" t="s">
        <v>141</v>
      </c>
      <c r="H625" s="35">
        <v>1220220</v>
      </c>
    </row>
    <row r="626" spans="2:8" x14ac:dyDescent="0.3">
      <c r="B626" s="31">
        <v>619</v>
      </c>
      <c r="C626" s="32">
        <v>43735</v>
      </c>
      <c r="D626" s="33" t="s">
        <v>161</v>
      </c>
      <c r="E626" s="34" t="s">
        <v>162</v>
      </c>
      <c r="F626" s="31" t="s">
        <v>147</v>
      </c>
      <c r="G626" s="31" t="s">
        <v>128</v>
      </c>
      <c r="H626" s="35">
        <v>1633600</v>
      </c>
    </row>
    <row r="627" spans="2:8" x14ac:dyDescent="0.3">
      <c r="B627" s="31">
        <v>620</v>
      </c>
      <c r="C627" s="32">
        <v>43717</v>
      </c>
      <c r="D627" s="33" t="s">
        <v>126</v>
      </c>
      <c r="E627" s="34" t="s">
        <v>127</v>
      </c>
      <c r="F627" s="31" t="s">
        <v>144</v>
      </c>
      <c r="G627" s="31" t="s">
        <v>125</v>
      </c>
      <c r="H627" s="35">
        <v>1689470</v>
      </c>
    </row>
    <row r="628" spans="2:8" x14ac:dyDescent="0.3">
      <c r="B628" s="31">
        <v>621</v>
      </c>
      <c r="C628" s="32">
        <v>43728</v>
      </c>
      <c r="D628" s="33" t="s">
        <v>139</v>
      </c>
      <c r="E628" s="34" t="s">
        <v>140</v>
      </c>
      <c r="F628" s="31" t="s">
        <v>144</v>
      </c>
      <c r="G628" s="31" t="s">
        <v>128</v>
      </c>
      <c r="H628" s="35">
        <v>1768940</v>
      </c>
    </row>
    <row r="629" spans="2:8" x14ac:dyDescent="0.3">
      <c r="B629" s="31">
        <v>622</v>
      </c>
      <c r="C629" s="32">
        <v>43737</v>
      </c>
      <c r="D629" s="33" t="s">
        <v>145</v>
      </c>
      <c r="E629" s="34" t="s">
        <v>146</v>
      </c>
      <c r="F629" s="31" t="s">
        <v>147</v>
      </c>
      <c r="G629" s="31" t="s">
        <v>136</v>
      </c>
      <c r="H629" s="35">
        <v>1687810</v>
      </c>
    </row>
    <row r="630" spans="2:8" x14ac:dyDescent="0.3">
      <c r="B630" s="31">
        <v>623</v>
      </c>
      <c r="C630" s="32">
        <v>43729</v>
      </c>
      <c r="D630" s="33" t="s">
        <v>126</v>
      </c>
      <c r="E630" s="34" t="s">
        <v>127</v>
      </c>
      <c r="F630" s="31" t="s">
        <v>147</v>
      </c>
      <c r="G630" s="31" t="s">
        <v>128</v>
      </c>
      <c r="H630" s="35">
        <v>1480000</v>
      </c>
    </row>
    <row r="631" spans="2:8" x14ac:dyDescent="0.3">
      <c r="B631" s="31">
        <v>624</v>
      </c>
      <c r="C631" s="32">
        <v>43716</v>
      </c>
      <c r="D631" s="33" t="s">
        <v>156</v>
      </c>
      <c r="E631" s="34" t="s">
        <v>157</v>
      </c>
      <c r="F631" s="31" t="s">
        <v>124</v>
      </c>
      <c r="G631" s="31" t="s">
        <v>132</v>
      </c>
      <c r="H631" s="35">
        <v>1479940</v>
      </c>
    </row>
    <row r="632" spans="2:8" x14ac:dyDescent="0.3">
      <c r="B632" s="31">
        <v>625</v>
      </c>
      <c r="C632" s="32">
        <v>43714</v>
      </c>
      <c r="D632" s="33" t="s">
        <v>122</v>
      </c>
      <c r="E632" s="34" t="s">
        <v>123</v>
      </c>
      <c r="F632" s="31" t="s">
        <v>144</v>
      </c>
      <c r="G632" s="31" t="s">
        <v>141</v>
      </c>
      <c r="H632" s="35">
        <v>612290</v>
      </c>
    </row>
    <row r="633" spans="2:8" x14ac:dyDescent="0.3">
      <c r="B633" s="31">
        <v>626</v>
      </c>
      <c r="C633" s="32">
        <v>43717</v>
      </c>
      <c r="D633" s="33" t="s">
        <v>154</v>
      </c>
      <c r="E633" s="34" t="s">
        <v>155</v>
      </c>
      <c r="F633" s="31" t="s">
        <v>131</v>
      </c>
      <c r="G633" s="31" t="s">
        <v>136</v>
      </c>
      <c r="H633" s="35">
        <v>1633600</v>
      </c>
    </row>
    <row r="634" spans="2:8" x14ac:dyDescent="0.3">
      <c r="B634" s="31">
        <v>627</v>
      </c>
      <c r="C634" s="32">
        <v>43734</v>
      </c>
      <c r="D634" s="33" t="s">
        <v>145</v>
      </c>
      <c r="E634" s="34" t="s">
        <v>146</v>
      </c>
      <c r="F634" s="31" t="s">
        <v>124</v>
      </c>
      <c r="G634" s="31" t="s">
        <v>128</v>
      </c>
      <c r="H634" s="35">
        <v>1633600</v>
      </c>
    </row>
    <row r="635" spans="2:8" x14ac:dyDescent="0.3">
      <c r="B635" s="31">
        <v>628</v>
      </c>
      <c r="C635" s="32">
        <v>43715</v>
      </c>
      <c r="D635" s="33" t="s">
        <v>126</v>
      </c>
      <c r="E635" s="34" t="s">
        <v>127</v>
      </c>
      <c r="F635" s="31" t="s">
        <v>144</v>
      </c>
      <c r="G635" s="31" t="s">
        <v>136</v>
      </c>
      <c r="H635" s="35">
        <v>2334860</v>
      </c>
    </row>
    <row r="636" spans="2:8" x14ac:dyDescent="0.3">
      <c r="B636" s="31">
        <v>629</v>
      </c>
      <c r="C636" s="32">
        <v>43724</v>
      </c>
      <c r="D636" s="33" t="s">
        <v>152</v>
      </c>
      <c r="E636" s="34" t="s">
        <v>153</v>
      </c>
      <c r="F636" s="31" t="s">
        <v>144</v>
      </c>
      <c r="G636" s="31" t="s">
        <v>132</v>
      </c>
      <c r="H636" s="35">
        <v>1724220</v>
      </c>
    </row>
    <row r="637" spans="2:8" x14ac:dyDescent="0.3">
      <c r="B637" s="31">
        <v>630</v>
      </c>
      <c r="C637" s="32">
        <v>43737</v>
      </c>
      <c r="D637" s="33" t="s">
        <v>156</v>
      </c>
      <c r="E637" s="34" t="s">
        <v>157</v>
      </c>
      <c r="F637" s="31" t="s">
        <v>131</v>
      </c>
      <c r="G637" s="31" t="s">
        <v>128</v>
      </c>
      <c r="H637" s="35">
        <v>1724220</v>
      </c>
    </row>
    <row r="638" spans="2:8" x14ac:dyDescent="0.3">
      <c r="B638" s="31">
        <v>631</v>
      </c>
      <c r="C638" s="32">
        <v>43713</v>
      </c>
      <c r="D638" s="33" t="s">
        <v>129</v>
      </c>
      <c r="E638" s="34" t="s">
        <v>130</v>
      </c>
      <c r="F638" s="31" t="s">
        <v>144</v>
      </c>
      <c r="G638" s="31" t="s">
        <v>158</v>
      </c>
      <c r="H638" s="35">
        <v>1724220</v>
      </c>
    </row>
    <row r="639" spans="2:8" x14ac:dyDescent="0.3">
      <c r="B639" s="31">
        <v>632</v>
      </c>
      <c r="C639" s="32">
        <v>43715</v>
      </c>
      <c r="D639" s="33" t="s">
        <v>139</v>
      </c>
      <c r="E639" s="34" t="s">
        <v>140</v>
      </c>
      <c r="F639" s="31" t="s">
        <v>124</v>
      </c>
      <c r="G639" s="31" t="s">
        <v>158</v>
      </c>
      <c r="H639" s="35">
        <v>1724220</v>
      </c>
    </row>
    <row r="640" spans="2:8" x14ac:dyDescent="0.3">
      <c r="B640" s="31">
        <v>633</v>
      </c>
      <c r="C640" s="32">
        <v>43709</v>
      </c>
      <c r="D640" s="33" t="s">
        <v>139</v>
      </c>
      <c r="E640" s="34" t="s">
        <v>140</v>
      </c>
      <c r="F640" s="31" t="s">
        <v>135</v>
      </c>
      <c r="G640" s="31" t="s">
        <v>125</v>
      </c>
      <c r="H640" s="35">
        <v>1750520</v>
      </c>
    </row>
    <row r="641" spans="2:8" x14ac:dyDescent="0.3">
      <c r="B641" s="31">
        <v>634</v>
      </c>
      <c r="C641" s="32">
        <v>43710</v>
      </c>
      <c r="D641" s="33" t="s">
        <v>137</v>
      </c>
      <c r="E641" s="34" t="s">
        <v>138</v>
      </c>
      <c r="F641" s="31" t="s">
        <v>131</v>
      </c>
      <c r="G641" s="31" t="s">
        <v>125</v>
      </c>
      <c r="H641" s="35">
        <v>1251070</v>
      </c>
    </row>
    <row r="642" spans="2:8" x14ac:dyDescent="0.3">
      <c r="B642" s="31">
        <v>635</v>
      </c>
      <c r="C642" s="32">
        <v>43713</v>
      </c>
      <c r="D642" s="33" t="s">
        <v>165</v>
      </c>
      <c r="E642" s="34" t="s">
        <v>166</v>
      </c>
      <c r="F642" s="31" t="s">
        <v>147</v>
      </c>
      <c r="G642" s="31" t="s">
        <v>136</v>
      </c>
      <c r="H642" s="35">
        <v>2819760</v>
      </c>
    </row>
    <row r="643" spans="2:8" x14ac:dyDescent="0.3">
      <c r="B643" s="31">
        <v>636</v>
      </c>
      <c r="C643" s="32">
        <v>43727</v>
      </c>
      <c r="D643" s="33" t="s">
        <v>137</v>
      </c>
      <c r="E643" s="34" t="s">
        <v>138</v>
      </c>
      <c r="F643" s="31" t="s">
        <v>147</v>
      </c>
      <c r="G643" s="31" t="s">
        <v>132</v>
      </c>
      <c r="H643" s="35">
        <v>2674750</v>
      </c>
    </row>
    <row r="644" spans="2:8" x14ac:dyDescent="0.3">
      <c r="B644" s="31">
        <v>637</v>
      </c>
      <c r="C644" s="32">
        <v>43714</v>
      </c>
      <c r="D644" s="33" t="s">
        <v>142</v>
      </c>
      <c r="E644" s="34" t="s">
        <v>143</v>
      </c>
      <c r="F644" s="31" t="s">
        <v>135</v>
      </c>
      <c r="G644" s="31" t="s">
        <v>136</v>
      </c>
      <c r="H644" s="35">
        <v>2596070</v>
      </c>
    </row>
    <row r="645" spans="2:8" x14ac:dyDescent="0.3">
      <c r="B645" s="31">
        <v>638</v>
      </c>
      <c r="C645" s="32">
        <v>43716</v>
      </c>
      <c r="D645" s="33" t="s">
        <v>161</v>
      </c>
      <c r="E645" s="34" t="s">
        <v>162</v>
      </c>
      <c r="F645" s="31" t="s">
        <v>135</v>
      </c>
      <c r="G645" s="31" t="s">
        <v>125</v>
      </c>
      <c r="H645" s="35">
        <v>2589190</v>
      </c>
    </row>
    <row r="646" spans="2:8" x14ac:dyDescent="0.3">
      <c r="B646" s="31">
        <v>639</v>
      </c>
      <c r="C646" s="32">
        <v>43714</v>
      </c>
      <c r="D646" s="33" t="s">
        <v>129</v>
      </c>
      <c r="E646" s="34" t="s">
        <v>130</v>
      </c>
      <c r="F646" s="31" t="s">
        <v>131</v>
      </c>
      <c r="G646" s="31" t="s">
        <v>136</v>
      </c>
      <c r="H646" s="35">
        <v>2685040</v>
      </c>
    </row>
    <row r="647" spans="2:8" x14ac:dyDescent="0.3">
      <c r="B647" s="31">
        <v>640</v>
      </c>
      <c r="C647" s="32">
        <v>43736</v>
      </c>
      <c r="D647" s="33" t="s">
        <v>161</v>
      </c>
      <c r="E647" s="34" t="s">
        <v>162</v>
      </c>
      <c r="F647" s="31" t="s">
        <v>144</v>
      </c>
      <c r="G647" s="31" t="s">
        <v>158</v>
      </c>
      <c r="H647" s="35">
        <v>2600060</v>
      </c>
    </row>
    <row r="648" spans="2:8" x14ac:dyDescent="0.3">
      <c r="B648" s="31">
        <v>641</v>
      </c>
      <c r="C648" s="32">
        <v>43715</v>
      </c>
      <c r="D648" s="33" t="s">
        <v>145</v>
      </c>
      <c r="E648" s="34" t="s">
        <v>146</v>
      </c>
      <c r="F648" s="31" t="s">
        <v>135</v>
      </c>
      <c r="G648" s="31" t="s">
        <v>136</v>
      </c>
      <c r="H648" s="35">
        <v>2452800</v>
      </c>
    </row>
    <row r="649" spans="2:8" x14ac:dyDescent="0.3">
      <c r="B649" s="31">
        <v>642</v>
      </c>
      <c r="C649" s="32">
        <v>43721</v>
      </c>
      <c r="D649" s="33" t="s">
        <v>133</v>
      </c>
      <c r="E649" s="34" t="s">
        <v>134</v>
      </c>
      <c r="F649" s="31" t="s">
        <v>124</v>
      </c>
      <c r="G649" s="31" t="s">
        <v>158</v>
      </c>
      <c r="H649" s="35">
        <v>2597070</v>
      </c>
    </row>
    <row r="650" spans="2:8" x14ac:dyDescent="0.3">
      <c r="B650" s="31">
        <v>643</v>
      </c>
      <c r="C650" s="32">
        <v>43727</v>
      </c>
      <c r="D650" s="33" t="s">
        <v>156</v>
      </c>
      <c r="E650" s="34" t="s">
        <v>157</v>
      </c>
      <c r="F650" s="31" t="s">
        <v>135</v>
      </c>
      <c r="G650" s="31" t="s">
        <v>158</v>
      </c>
      <c r="H650" s="35">
        <v>2651860</v>
      </c>
    </row>
    <row r="651" spans="2:8" x14ac:dyDescent="0.3">
      <c r="B651" s="31">
        <v>644</v>
      </c>
      <c r="C651" s="32">
        <v>43714</v>
      </c>
      <c r="D651" s="33" t="s">
        <v>148</v>
      </c>
      <c r="E651" s="34" t="s">
        <v>149</v>
      </c>
      <c r="F651" s="31" t="s">
        <v>147</v>
      </c>
      <c r="G651" s="31" t="s">
        <v>158</v>
      </c>
      <c r="H651" s="35">
        <v>2461930</v>
      </c>
    </row>
    <row r="652" spans="2:8" x14ac:dyDescent="0.3">
      <c r="B652" s="31">
        <v>645</v>
      </c>
      <c r="C652" s="32">
        <v>43724</v>
      </c>
      <c r="D652" s="33" t="s">
        <v>161</v>
      </c>
      <c r="E652" s="34" t="s">
        <v>162</v>
      </c>
      <c r="F652" s="31" t="s">
        <v>144</v>
      </c>
      <c r="G652" s="31" t="s">
        <v>128</v>
      </c>
      <c r="H652" s="35">
        <v>2504320</v>
      </c>
    </row>
    <row r="653" spans="2:8" x14ac:dyDescent="0.3">
      <c r="B653" s="31">
        <v>646</v>
      </c>
      <c r="C653" s="32">
        <v>43728</v>
      </c>
      <c r="D653" s="33" t="s">
        <v>150</v>
      </c>
      <c r="E653" s="34" t="s">
        <v>151</v>
      </c>
      <c r="F653" s="31" t="s">
        <v>135</v>
      </c>
      <c r="G653" s="31" t="s">
        <v>158</v>
      </c>
      <c r="H653" s="35">
        <v>2611650</v>
      </c>
    </row>
    <row r="654" spans="2:8" x14ac:dyDescent="0.3">
      <c r="B654" s="31">
        <v>647</v>
      </c>
      <c r="C654" s="32">
        <v>43716</v>
      </c>
      <c r="D654" s="33" t="s">
        <v>145</v>
      </c>
      <c r="E654" s="34" t="s">
        <v>146</v>
      </c>
      <c r="F654" s="31" t="s">
        <v>135</v>
      </c>
      <c r="G654" s="31" t="s">
        <v>125</v>
      </c>
      <c r="H654" s="35">
        <v>2296940</v>
      </c>
    </row>
    <row r="655" spans="2:8" x14ac:dyDescent="0.3">
      <c r="B655" s="31">
        <v>648</v>
      </c>
      <c r="C655" s="32">
        <v>43710</v>
      </c>
      <c r="D655" s="33" t="s">
        <v>150</v>
      </c>
      <c r="E655" s="34" t="s">
        <v>151</v>
      </c>
      <c r="F655" s="31" t="s">
        <v>124</v>
      </c>
      <c r="G655" s="31" t="s">
        <v>141</v>
      </c>
      <c r="H655" s="35">
        <v>2488740</v>
      </c>
    </row>
    <row r="656" spans="2:8" x14ac:dyDescent="0.3">
      <c r="B656" s="31">
        <v>649</v>
      </c>
      <c r="C656" s="32">
        <v>43721</v>
      </c>
      <c r="D656" s="33" t="s">
        <v>165</v>
      </c>
      <c r="E656" s="34" t="s">
        <v>166</v>
      </c>
      <c r="F656" s="31" t="s">
        <v>135</v>
      </c>
      <c r="G656" s="31" t="s">
        <v>128</v>
      </c>
      <c r="H656" s="35">
        <v>1490230</v>
      </c>
    </row>
    <row r="657" spans="2:8" x14ac:dyDescent="0.3">
      <c r="B657" s="31">
        <v>650</v>
      </c>
      <c r="C657" s="32">
        <v>43717</v>
      </c>
      <c r="D657" s="33" t="s">
        <v>159</v>
      </c>
      <c r="E657" s="34" t="s">
        <v>160</v>
      </c>
      <c r="F657" s="31" t="s">
        <v>135</v>
      </c>
      <c r="G657" s="31" t="s">
        <v>128</v>
      </c>
      <c r="H657" s="35">
        <v>2469780</v>
      </c>
    </row>
    <row r="658" spans="2:8" x14ac:dyDescent="0.3">
      <c r="B658" s="31">
        <v>651</v>
      </c>
      <c r="C658" s="32">
        <v>43730</v>
      </c>
      <c r="D658" s="33" t="s">
        <v>167</v>
      </c>
      <c r="E658" s="34" t="s">
        <v>168</v>
      </c>
      <c r="F658" s="31" t="s">
        <v>131</v>
      </c>
      <c r="G658" s="31" t="s">
        <v>125</v>
      </c>
      <c r="H658" s="35">
        <v>1767310</v>
      </c>
    </row>
    <row r="659" spans="2:8" x14ac:dyDescent="0.3">
      <c r="B659" s="31">
        <v>652</v>
      </c>
      <c r="C659" s="32">
        <v>43723</v>
      </c>
      <c r="D659" s="33" t="s">
        <v>163</v>
      </c>
      <c r="E659" s="34" t="s">
        <v>164</v>
      </c>
      <c r="F659" s="31" t="s">
        <v>135</v>
      </c>
      <c r="G659" s="31" t="s">
        <v>128</v>
      </c>
      <c r="H659" s="35">
        <v>1728120</v>
      </c>
    </row>
    <row r="660" spans="2:8" x14ac:dyDescent="0.3">
      <c r="B660" s="31">
        <v>653</v>
      </c>
      <c r="C660" s="32">
        <v>43737</v>
      </c>
      <c r="D660" s="33" t="s">
        <v>137</v>
      </c>
      <c r="E660" s="34" t="s">
        <v>138</v>
      </c>
      <c r="F660" s="31" t="s">
        <v>144</v>
      </c>
      <c r="G660" s="31" t="s">
        <v>132</v>
      </c>
      <c r="H660" s="35">
        <v>1848110</v>
      </c>
    </row>
    <row r="661" spans="2:8" x14ac:dyDescent="0.3">
      <c r="B661" s="31">
        <v>654</v>
      </c>
      <c r="C661" s="32">
        <v>43734</v>
      </c>
      <c r="D661" s="33" t="s">
        <v>129</v>
      </c>
      <c r="E661" s="34" t="s">
        <v>130</v>
      </c>
      <c r="F661" s="31" t="s">
        <v>135</v>
      </c>
      <c r="G661" s="31" t="s">
        <v>158</v>
      </c>
      <c r="H661" s="35">
        <v>1837170</v>
      </c>
    </row>
    <row r="662" spans="2:8" x14ac:dyDescent="0.3">
      <c r="B662" s="31">
        <v>655</v>
      </c>
      <c r="C662" s="32">
        <v>43724</v>
      </c>
      <c r="D662" s="33" t="s">
        <v>139</v>
      </c>
      <c r="E662" s="34" t="s">
        <v>140</v>
      </c>
      <c r="F662" s="31" t="s">
        <v>124</v>
      </c>
      <c r="G662" s="31" t="s">
        <v>132</v>
      </c>
      <c r="H662" s="35">
        <v>2132520</v>
      </c>
    </row>
    <row r="663" spans="2:8" x14ac:dyDescent="0.3">
      <c r="B663" s="31">
        <v>656</v>
      </c>
      <c r="C663" s="32">
        <v>43727</v>
      </c>
      <c r="D663" s="33" t="s">
        <v>126</v>
      </c>
      <c r="E663" s="34" t="s">
        <v>127</v>
      </c>
      <c r="F663" s="31" t="s">
        <v>131</v>
      </c>
      <c r="G663" s="31" t="s">
        <v>136</v>
      </c>
      <c r="H663" s="35">
        <v>2125070</v>
      </c>
    </row>
    <row r="664" spans="2:8" x14ac:dyDescent="0.3">
      <c r="B664" s="31">
        <v>657</v>
      </c>
      <c r="C664" s="32">
        <v>43721</v>
      </c>
      <c r="D664" s="33" t="s">
        <v>167</v>
      </c>
      <c r="E664" s="34" t="s">
        <v>168</v>
      </c>
      <c r="F664" s="31" t="s">
        <v>124</v>
      </c>
      <c r="G664" s="31" t="s">
        <v>158</v>
      </c>
      <c r="H664" s="35">
        <v>1458980</v>
      </c>
    </row>
    <row r="665" spans="2:8" x14ac:dyDescent="0.3">
      <c r="B665" s="31">
        <v>658</v>
      </c>
      <c r="C665" s="32">
        <v>43738</v>
      </c>
      <c r="D665" s="33" t="s">
        <v>145</v>
      </c>
      <c r="E665" s="34" t="s">
        <v>146</v>
      </c>
      <c r="F665" s="31" t="s">
        <v>147</v>
      </c>
      <c r="G665" s="31" t="s">
        <v>141</v>
      </c>
      <c r="H665" s="35">
        <v>1704620</v>
      </c>
    </row>
    <row r="666" spans="2:8" x14ac:dyDescent="0.3">
      <c r="B666" s="31">
        <v>659</v>
      </c>
      <c r="C666" s="32">
        <v>43710</v>
      </c>
      <c r="D666" s="33" t="s">
        <v>148</v>
      </c>
      <c r="E666" s="34" t="s">
        <v>149</v>
      </c>
      <c r="F666" s="31" t="s">
        <v>135</v>
      </c>
      <c r="G666" s="31" t="s">
        <v>158</v>
      </c>
      <c r="H666" s="35">
        <v>1623660</v>
      </c>
    </row>
    <row r="667" spans="2:8" x14ac:dyDescent="0.3">
      <c r="B667" s="31">
        <v>660</v>
      </c>
      <c r="C667" s="32">
        <v>43724</v>
      </c>
      <c r="D667" s="33" t="s">
        <v>163</v>
      </c>
      <c r="E667" s="34" t="s">
        <v>164</v>
      </c>
      <c r="F667" s="31" t="s">
        <v>131</v>
      </c>
      <c r="G667" s="31" t="s">
        <v>125</v>
      </c>
      <c r="H667" s="35">
        <v>2486190</v>
      </c>
    </row>
    <row r="668" spans="2:8" x14ac:dyDescent="0.3">
      <c r="B668" s="31">
        <v>661</v>
      </c>
      <c r="C668" s="32">
        <v>43717</v>
      </c>
      <c r="D668" s="33" t="s">
        <v>142</v>
      </c>
      <c r="E668" s="34" t="s">
        <v>143</v>
      </c>
      <c r="F668" s="31" t="s">
        <v>124</v>
      </c>
      <c r="G668" s="31" t="s">
        <v>128</v>
      </c>
      <c r="H668" s="35">
        <v>1241780</v>
      </c>
    </row>
    <row r="669" spans="2:8" x14ac:dyDescent="0.3">
      <c r="B669" s="31">
        <v>662</v>
      </c>
      <c r="C669" s="32">
        <v>43710</v>
      </c>
      <c r="D669" s="33" t="s">
        <v>129</v>
      </c>
      <c r="E669" s="34" t="s">
        <v>130</v>
      </c>
      <c r="F669" s="31" t="s">
        <v>147</v>
      </c>
      <c r="G669" s="31" t="s">
        <v>128</v>
      </c>
      <c r="H669" s="35">
        <v>1241780</v>
      </c>
    </row>
    <row r="670" spans="2:8" x14ac:dyDescent="0.3">
      <c r="B670" s="31">
        <v>663</v>
      </c>
      <c r="C670" s="32">
        <v>43723</v>
      </c>
      <c r="D670" s="33" t="s">
        <v>139</v>
      </c>
      <c r="E670" s="34" t="s">
        <v>140</v>
      </c>
      <c r="F670" s="31" t="s">
        <v>135</v>
      </c>
      <c r="G670" s="31" t="s">
        <v>158</v>
      </c>
      <c r="H670" s="35">
        <v>1241780</v>
      </c>
    </row>
    <row r="671" spans="2:8" x14ac:dyDescent="0.3">
      <c r="B671" s="31">
        <v>664</v>
      </c>
      <c r="C671" s="32">
        <v>43709</v>
      </c>
      <c r="D671" s="33" t="s">
        <v>152</v>
      </c>
      <c r="E671" s="34" t="s">
        <v>153</v>
      </c>
      <c r="F671" s="31" t="s">
        <v>147</v>
      </c>
      <c r="G671" s="31" t="s">
        <v>132</v>
      </c>
      <c r="H671" s="35">
        <v>1241780</v>
      </c>
    </row>
    <row r="672" spans="2:8" x14ac:dyDescent="0.3">
      <c r="B672" s="31">
        <v>665</v>
      </c>
      <c r="C672" s="32">
        <v>43727</v>
      </c>
      <c r="D672" s="33" t="s">
        <v>163</v>
      </c>
      <c r="E672" s="34" t="s">
        <v>164</v>
      </c>
      <c r="F672" s="31" t="s">
        <v>144</v>
      </c>
      <c r="G672" s="31" t="s">
        <v>158</v>
      </c>
      <c r="H672" s="35">
        <v>1588970</v>
      </c>
    </row>
    <row r="673" spans="2:8" x14ac:dyDescent="0.3">
      <c r="B673" s="31">
        <v>666</v>
      </c>
      <c r="C673" s="32">
        <v>43729</v>
      </c>
      <c r="D673" s="33" t="s">
        <v>137</v>
      </c>
      <c r="E673" s="34" t="s">
        <v>138</v>
      </c>
      <c r="F673" s="31" t="s">
        <v>131</v>
      </c>
      <c r="G673" s="31" t="s">
        <v>132</v>
      </c>
      <c r="H673" s="35">
        <v>1410880</v>
      </c>
    </row>
    <row r="674" spans="2:8" x14ac:dyDescent="0.3">
      <c r="B674" s="31">
        <v>667</v>
      </c>
      <c r="C674" s="32">
        <v>43731</v>
      </c>
      <c r="D674" s="33" t="s">
        <v>142</v>
      </c>
      <c r="E674" s="34" t="s">
        <v>143</v>
      </c>
      <c r="F674" s="31" t="s">
        <v>147</v>
      </c>
      <c r="G674" s="31" t="s">
        <v>132</v>
      </c>
      <c r="H674" s="35">
        <v>1410880</v>
      </c>
    </row>
    <row r="675" spans="2:8" x14ac:dyDescent="0.3">
      <c r="B675" s="31">
        <v>668</v>
      </c>
      <c r="C675" s="32">
        <v>43724</v>
      </c>
      <c r="D675" s="33" t="s">
        <v>165</v>
      </c>
      <c r="E675" s="34" t="s">
        <v>166</v>
      </c>
      <c r="F675" s="31" t="s">
        <v>147</v>
      </c>
      <c r="G675" s="31" t="s">
        <v>136</v>
      </c>
      <c r="H675" s="35">
        <v>1410880</v>
      </c>
    </row>
    <row r="676" spans="2:8" x14ac:dyDescent="0.3">
      <c r="B676" s="31">
        <v>669</v>
      </c>
      <c r="C676" s="32">
        <v>43714</v>
      </c>
      <c r="D676" s="33" t="s">
        <v>165</v>
      </c>
      <c r="E676" s="34" t="s">
        <v>166</v>
      </c>
      <c r="F676" s="31" t="s">
        <v>135</v>
      </c>
      <c r="G676" s="31" t="s">
        <v>136</v>
      </c>
      <c r="H676" s="35">
        <v>1357290</v>
      </c>
    </row>
    <row r="677" spans="2:8" x14ac:dyDescent="0.3">
      <c r="B677" s="31">
        <v>670</v>
      </c>
      <c r="C677" s="32">
        <v>43709</v>
      </c>
      <c r="D677" s="33" t="s">
        <v>137</v>
      </c>
      <c r="E677" s="34" t="s">
        <v>138</v>
      </c>
      <c r="F677" s="31" t="s">
        <v>131</v>
      </c>
      <c r="G677" s="31" t="s">
        <v>132</v>
      </c>
      <c r="H677" s="35">
        <v>1279820</v>
      </c>
    </row>
    <row r="678" spans="2:8" x14ac:dyDescent="0.3">
      <c r="B678" s="31">
        <v>671</v>
      </c>
      <c r="C678" s="32">
        <v>43716</v>
      </c>
      <c r="D678" s="33" t="s">
        <v>145</v>
      </c>
      <c r="E678" s="34" t="s">
        <v>146</v>
      </c>
      <c r="F678" s="31" t="s">
        <v>144</v>
      </c>
      <c r="G678" s="31" t="s">
        <v>125</v>
      </c>
      <c r="H678" s="35">
        <v>1279820</v>
      </c>
    </row>
    <row r="679" spans="2:8" x14ac:dyDescent="0.3">
      <c r="B679" s="31">
        <v>672</v>
      </c>
      <c r="C679" s="32">
        <v>43724</v>
      </c>
      <c r="D679" s="33" t="s">
        <v>167</v>
      </c>
      <c r="E679" s="34" t="s">
        <v>168</v>
      </c>
      <c r="F679" s="31" t="s">
        <v>144</v>
      </c>
      <c r="G679" s="31" t="s">
        <v>125</v>
      </c>
      <c r="H679" s="35">
        <v>1279820</v>
      </c>
    </row>
    <row r="680" spans="2:8" x14ac:dyDescent="0.3">
      <c r="B680" s="31">
        <v>673</v>
      </c>
      <c r="C680" s="32">
        <v>43729</v>
      </c>
      <c r="D680" s="33" t="s">
        <v>156</v>
      </c>
      <c r="E680" s="34" t="s">
        <v>157</v>
      </c>
      <c r="F680" s="31" t="s">
        <v>135</v>
      </c>
      <c r="G680" s="31" t="s">
        <v>132</v>
      </c>
      <c r="H680" s="35">
        <v>1520850</v>
      </c>
    </row>
    <row r="681" spans="2:8" x14ac:dyDescent="0.3">
      <c r="B681" s="31">
        <v>674</v>
      </c>
      <c r="C681" s="32">
        <v>43717</v>
      </c>
      <c r="D681" s="33" t="s">
        <v>152</v>
      </c>
      <c r="E681" s="34" t="s">
        <v>153</v>
      </c>
      <c r="F681" s="31" t="s">
        <v>124</v>
      </c>
      <c r="G681" s="31" t="s">
        <v>128</v>
      </c>
      <c r="H681" s="35">
        <v>2120000</v>
      </c>
    </row>
    <row r="682" spans="2:8" x14ac:dyDescent="0.3">
      <c r="B682" s="31">
        <v>675</v>
      </c>
      <c r="C682" s="32">
        <v>43717</v>
      </c>
      <c r="D682" s="33" t="s">
        <v>122</v>
      </c>
      <c r="E682" s="34" t="s">
        <v>123</v>
      </c>
      <c r="F682" s="31" t="s">
        <v>144</v>
      </c>
      <c r="G682" s="31" t="s">
        <v>136</v>
      </c>
      <c r="H682" s="35">
        <v>2020000</v>
      </c>
    </row>
    <row r="683" spans="2:8" x14ac:dyDescent="0.3">
      <c r="B683" s="31">
        <v>676</v>
      </c>
      <c r="C683" s="32">
        <v>43710</v>
      </c>
      <c r="D683" s="33" t="s">
        <v>167</v>
      </c>
      <c r="E683" s="34" t="s">
        <v>168</v>
      </c>
      <c r="F683" s="31" t="s">
        <v>124</v>
      </c>
      <c r="G683" s="31" t="s">
        <v>141</v>
      </c>
      <c r="H683" s="35">
        <v>2320000</v>
      </c>
    </row>
    <row r="684" spans="2:8" x14ac:dyDescent="0.3">
      <c r="B684" s="31">
        <v>677</v>
      </c>
      <c r="C684" s="32">
        <v>43724</v>
      </c>
      <c r="D684" s="33" t="s">
        <v>129</v>
      </c>
      <c r="E684" s="34" t="s">
        <v>130</v>
      </c>
      <c r="F684" s="31" t="s">
        <v>131</v>
      </c>
      <c r="G684" s="31" t="s">
        <v>132</v>
      </c>
      <c r="H684" s="35">
        <v>1870000</v>
      </c>
    </row>
    <row r="685" spans="2:8" x14ac:dyDescent="0.3">
      <c r="B685" s="31">
        <v>678</v>
      </c>
      <c r="C685" s="32">
        <v>43727</v>
      </c>
      <c r="D685" s="33" t="s">
        <v>167</v>
      </c>
      <c r="E685" s="34" t="s">
        <v>168</v>
      </c>
      <c r="F685" s="31" t="s">
        <v>131</v>
      </c>
      <c r="G685" s="31" t="s">
        <v>141</v>
      </c>
      <c r="H685" s="35">
        <v>1870000</v>
      </c>
    </row>
    <row r="686" spans="2:8" x14ac:dyDescent="0.3">
      <c r="B686" s="31">
        <v>679</v>
      </c>
      <c r="C686" s="32">
        <v>43717</v>
      </c>
      <c r="D686" s="33" t="s">
        <v>122</v>
      </c>
      <c r="E686" s="34" t="s">
        <v>123</v>
      </c>
      <c r="F686" s="31" t="s">
        <v>135</v>
      </c>
      <c r="G686" s="31" t="s">
        <v>128</v>
      </c>
      <c r="H686" s="35">
        <v>1870000</v>
      </c>
    </row>
    <row r="687" spans="2:8" x14ac:dyDescent="0.3">
      <c r="B687" s="31">
        <v>680</v>
      </c>
      <c r="C687" s="32">
        <v>43724</v>
      </c>
      <c r="D687" s="33" t="s">
        <v>148</v>
      </c>
      <c r="E687" s="34" t="s">
        <v>149</v>
      </c>
      <c r="F687" s="31" t="s">
        <v>124</v>
      </c>
      <c r="G687" s="31" t="s">
        <v>141</v>
      </c>
      <c r="H687" s="35">
        <v>1870000</v>
      </c>
    </row>
    <row r="688" spans="2:8" x14ac:dyDescent="0.3">
      <c r="B688" s="31">
        <v>681</v>
      </c>
      <c r="C688" s="32">
        <v>43716</v>
      </c>
      <c r="D688" s="33" t="s">
        <v>154</v>
      </c>
      <c r="E688" s="34" t="s">
        <v>155</v>
      </c>
      <c r="F688" s="31" t="s">
        <v>124</v>
      </c>
      <c r="G688" s="31" t="s">
        <v>158</v>
      </c>
      <c r="H688" s="35">
        <v>1770000</v>
      </c>
    </row>
    <row r="689" spans="2:8" x14ac:dyDescent="0.3">
      <c r="B689" s="31">
        <v>682</v>
      </c>
      <c r="C689" s="32">
        <v>43736</v>
      </c>
      <c r="D689" s="33" t="s">
        <v>129</v>
      </c>
      <c r="E689" s="34" t="s">
        <v>130</v>
      </c>
      <c r="F689" s="31" t="s">
        <v>135</v>
      </c>
      <c r="G689" s="31" t="s">
        <v>132</v>
      </c>
      <c r="H689" s="35">
        <v>1770000</v>
      </c>
    </row>
    <row r="690" spans="2:8" x14ac:dyDescent="0.3">
      <c r="B690" s="31">
        <v>683</v>
      </c>
      <c r="C690" s="32">
        <v>43734</v>
      </c>
      <c r="D690" s="33" t="s">
        <v>145</v>
      </c>
      <c r="E690" s="34" t="s">
        <v>146</v>
      </c>
      <c r="F690" s="31" t="s">
        <v>135</v>
      </c>
      <c r="G690" s="31" t="s">
        <v>158</v>
      </c>
      <c r="H690" s="35">
        <v>1770000</v>
      </c>
    </row>
    <row r="691" spans="2:8" x14ac:dyDescent="0.3">
      <c r="B691" s="31">
        <v>684</v>
      </c>
      <c r="C691" s="32">
        <v>43738</v>
      </c>
      <c r="D691" s="33" t="s">
        <v>139</v>
      </c>
      <c r="E691" s="34" t="s">
        <v>140</v>
      </c>
      <c r="F691" s="31" t="s">
        <v>131</v>
      </c>
      <c r="G691" s="31" t="s">
        <v>128</v>
      </c>
      <c r="H691" s="35">
        <v>1770000</v>
      </c>
    </row>
    <row r="692" spans="2:8" x14ac:dyDescent="0.3">
      <c r="B692" s="31">
        <v>685</v>
      </c>
      <c r="C692" s="32">
        <v>43716</v>
      </c>
      <c r="D692" s="33" t="s">
        <v>148</v>
      </c>
      <c r="E692" s="34" t="s">
        <v>149</v>
      </c>
      <c r="F692" s="31" t="s">
        <v>135</v>
      </c>
      <c r="G692" s="31" t="s">
        <v>125</v>
      </c>
      <c r="H692" s="35">
        <v>1770000</v>
      </c>
    </row>
    <row r="693" spans="2:8" x14ac:dyDescent="0.3">
      <c r="B693" s="31">
        <v>686</v>
      </c>
      <c r="C693" s="32">
        <v>43735</v>
      </c>
      <c r="D693" s="33" t="s">
        <v>156</v>
      </c>
      <c r="E693" s="34" t="s">
        <v>157</v>
      </c>
      <c r="F693" s="31" t="s">
        <v>124</v>
      </c>
      <c r="G693" s="31" t="s">
        <v>136</v>
      </c>
      <c r="H693" s="35">
        <v>1770000</v>
      </c>
    </row>
    <row r="694" spans="2:8" x14ac:dyDescent="0.3">
      <c r="B694" s="31">
        <v>687</v>
      </c>
      <c r="C694" s="32">
        <v>43724</v>
      </c>
      <c r="D694" s="33" t="s">
        <v>159</v>
      </c>
      <c r="E694" s="34" t="s">
        <v>160</v>
      </c>
      <c r="F694" s="31" t="s">
        <v>144</v>
      </c>
      <c r="G694" s="31" t="s">
        <v>132</v>
      </c>
      <c r="H694" s="35">
        <v>1761850</v>
      </c>
    </row>
    <row r="695" spans="2:8" x14ac:dyDescent="0.3">
      <c r="B695" s="31">
        <v>688</v>
      </c>
      <c r="C695" s="32">
        <v>43717</v>
      </c>
      <c r="D695" s="33" t="s">
        <v>150</v>
      </c>
      <c r="E695" s="34" t="s">
        <v>151</v>
      </c>
      <c r="F695" s="31" t="s">
        <v>131</v>
      </c>
      <c r="G695" s="31" t="s">
        <v>141</v>
      </c>
      <c r="H695" s="35">
        <v>1720000</v>
      </c>
    </row>
    <row r="696" spans="2:8" x14ac:dyDescent="0.3">
      <c r="B696" s="31">
        <v>689</v>
      </c>
      <c r="C696" s="32">
        <v>43717</v>
      </c>
      <c r="D696" s="33" t="s">
        <v>167</v>
      </c>
      <c r="E696" s="34" t="s">
        <v>168</v>
      </c>
      <c r="F696" s="31" t="s">
        <v>131</v>
      </c>
      <c r="G696" s="31" t="s">
        <v>141</v>
      </c>
      <c r="H696" s="35">
        <v>1620000</v>
      </c>
    </row>
    <row r="697" spans="2:8" x14ac:dyDescent="0.3">
      <c r="B697" s="31">
        <v>690</v>
      </c>
      <c r="C697" s="32">
        <v>43735</v>
      </c>
      <c r="D697" s="33" t="s">
        <v>152</v>
      </c>
      <c r="E697" s="34" t="s">
        <v>153</v>
      </c>
      <c r="F697" s="31" t="s">
        <v>144</v>
      </c>
      <c r="G697" s="31" t="s">
        <v>132</v>
      </c>
      <c r="H697" s="35">
        <v>1620000</v>
      </c>
    </row>
    <row r="698" spans="2:8" x14ac:dyDescent="0.3">
      <c r="B698" s="31">
        <v>691</v>
      </c>
      <c r="C698" s="32">
        <v>43736</v>
      </c>
      <c r="D698" s="33" t="s">
        <v>148</v>
      </c>
      <c r="E698" s="34" t="s">
        <v>149</v>
      </c>
      <c r="F698" s="31" t="s">
        <v>131</v>
      </c>
      <c r="G698" s="31" t="s">
        <v>125</v>
      </c>
      <c r="H698" s="35">
        <v>1620000</v>
      </c>
    </row>
    <row r="699" spans="2:8" x14ac:dyDescent="0.3">
      <c r="B699" s="31">
        <v>692</v>
      </c>
      <c r="C699" s="32">
        <v>43735</v>
      </c>
      <c r="D699" s="33" t="s">
        <v>142</v>
      </c>
      <c r="E699" s="34" t="s">
        <v>143</v>
      </c>
      <c r="F699" s="31" t="s">
        <v>131</v>
      </c>
      <c r="G699" s="31" t="s">
        <v>128</v>
      </c>
      <c r="H699" s="35">
        <v>302740</v>
      </c>
    </row>
    <row r="700" spans="2:8" x14ac:dyDescent="0.3">
      <c r="B700" s="31">
        <v>693</v>
      </c>
      <c r="C700" s="32">
        <v>43720</v>
      </c>
      <c r="D700" s="33" t="s">
        <v>133</v>
      </c>
      <c r="E700" s="34" t="s">
        <v>134</v>
      </c>
      <c r="F700" s="31" t="s">
        <v>147</v>
      </c>
      <c r="G700" s="31" t="s">
        <v>141</v>
      </c>
      <c r="H700" s="35">
        <v>201820</v>
      </c>
    </row>
    <row r="701" spans="2:8" x14ac:dyDescent="0.3">
      <c r="B701" s="31">
        <v>694</v>
      </c>
      <c r="C701" s="32">
        <v>43710</v>
      </c>
      <c r="D701" s="33" t="s">
        <v>163</v>
      </c>
      <c r="E701" s="34" t="s">
        <v>164</v>
      </c>
      <c r="F701" s="31" t="s">
        <v>124</v>
      </c>
      <c r="G701" s="31" t="s">
        <v>128</v>
      </c>
      <c r="H701" s="35">
        <v>1788820</v>
      </c>
    </row>
    <row r="702" spans="2:8" x14ac:dyDescent="0.3">
      <c r="B702" s="31">
        <v>695</v>
      </c>
      <c r="C702" s="32">
        <v>43710</v>
      </c>
      <c r="D702" s="33" t="s">
        <v>148</v>
      </c>
      <c r="E702" s="34" t="s">
        <v>149</v>
      </c>
      <c r="F702" s="31" t="s">
        <v>124</v>
      </c>
      <c r="G702" s="31" t="s">
        <v>158</v>
      </c>
      <c r="H702" s="35">
        <v>1838170</v>
      </c>
    </row>
    <row r="703" spans="2:8" x14ac:dyDescent="0.3">
      <c r="B703" s="31">
        <v>696</v>
      </c>
      <c r="C703" s="32">
        <v>43736</v>
      </c>
      <c r="D703" s="33" t="s">
        <v>142</v>
      </c>
      <c r="E703" s="34" t="s">
        <v>143</v>
      </c>
      <c r="F703" s="31" t="s">
        <v>144</v>
      </c>
      <c r="G703" s="31" t="s">
        <v>158</v>
      </c>
      <c r="H703" s="35">
        <v>1398040</v>
      </c>
    </row>
    <row r="704" spans="2:8" x14ac:dyDescent="0.3">
      <c r="B704" s="31">
        <v>697</v>
      </c>
      <c r="C704" s="32">
        <v>43717</v>
      </c>
      <c r="D704" s="33" t="s">
        <v>154</v>
      </c>
      <c r="E704" s="34" t="s">
        <v>155</v>
      </c>
      <c r="F704" s="31" t="s">
        <v>144</v>
      </c>
      <c r="G704" s="31" t="s">
        <v>132</v>
      </c>
      <c r="H704" s="35">
        <v>1360830</v>
      </c>
    </row>
    <row r="705" spans="2:8" x14ac:dyDescent="0.3">
      <c r="B705" s="31">
        <v>698</v>
      </c>
      <c r="C705" s="32">
        <v>43728</v>
      </c>
      <c r="D705" s="33" t="s">
        <v>145</v>
      </c>
      <c r="E705" s="34" t="s">
        <v>146</v>
      </c>
      <c r="F705" s="31" t="s">
        <v>131</v>
      </c>
      <c r="G705" s="31" t="s">
        <v>141</v>
      </c>
      <c r="H705" s="35">
        <v>1360830</v>
      </c>
    </row>
    <row r="706" spans="2:8" x14ac:dyDescent="0.3">
      <c r="B706" s="31">
        <v>699</v>
      </c>
      <c r="C706" s="32">
        <v>43763</v>
      </c>
      <c r="D706" s="33" t="s">
        <v>139</v>
      </c>
      <c r="E706" s="34" t="s">
        <v>140</v>
      </c>
      <c r="F706" s="31" t="s">
        <v>147</v>
      </c>
      <c r="G706" s="31" t="s">
        <v>125</v>
      </c>
      <c r="H706" s="35">
        <v>1422310</v>
      </c>
    </row>
    <row r="707" spans="2:8" x14ac:dyDescent="0.3">
      <c r="B707" s="31">
        <v>700</v>
      </c>
      <c r="C707" s="32">
        <v>43751</v>
      </c>
      <c r="D707" s="33" t="s">
        <v>154</v>
      </c>
      <c r="E707" s="34" t="s">
        <v>155</v>
      </c>
      <c r="F707" s="31" t="s">
        <v>131</v>
      </c>
      <c r="G707" s="31" t="s">
        <v>158</v>
      </c>
      <c r="H707" s="35">
        <v>1398040</v>
      </c>
    </row>
    <row r="708" spans="2:8" x14ac:dyDescent="0.3">
      <c r="B708" s="31">
        <v>701</v>
      </c>
      <c r="C708" s="32">
        <v>43745</v>
      </c>
      <c r="D708" s="33" t="s">
        <v>167</v>
      </c>
      <c r="E708" s="34" t="s">
        <v>168</v>
      </c>
      <c r="F708" s="31" t="s">
        <v>144</v>
      </c>
      <c r="G708" s="31" t="s">
        <v>128</v>
      </c>
      <c r="H708" s="35">
        <v>1593830</v>
      </c>
    </row>
    <row r="709" spans="2:8" x14ac:dyDescent="0.3">
      <c r="B709" s="31">
        <v>702</v>
      </c>
      <c r="C709" s="32">
        <v>43752</v>
      </c>
      <c r="D709" s="33" t="s">
        <v>137</v>
      </c>
      <c r="E709" s="34" t="s">
        <v>138</v>
      </c>
      <c r="F709" s="31" t="s">
        <v>147</v>
      </c>
      <c r="G709" s="31" t="s">
        <v>158</v>
      </c>
      <c r="H709" s="35">
        <v>1593830</v>
      </c>
    </row>
    <row r="710" spans="2:8" x14ac:dyDescent="0.3">
      <c r="B710" s="31">
        <v>703</v>
      </c>
      <c r="C710" s="32">
        <v>43759</v>
      </c>
      <c r="D710" s="33" t="s">
        <v>142</v>
      </c>
      <c r="E710" s="34" t="s">
        <v>143</v>
      </c>
      <c r="F710" s="31" t="s">
        <v>135</v>
      </c>
      <c r="G710" s="31" t="s">
        <v>125</v>
      </c>
      <c r="H710" s="35">
        <v>1762120</v>
      </c>
    </row>
    <row r="711" spans="2:8" x14ac:dyDescent="0.3">
      <c r="B711" s="31">
        <v>704</v>
      </c>
      <c r="C711" s="32">
        <v>43748</v>
      </c>
      <c r="D711" s="33" t="s">
        <v>133</v>
      </c>
      <c r="E711" s="34" t="s">
        <v>134</v>
      </c>
      <c r="F711" s="31" t="s">
        <v>147</v>
      </c>
      <c r="G711" s="31" t="s">
        <v>128</v>
      </c>
      <c r="H711" s="35">
        <v>1512810</v>
      </c>
    </row>
    <row r="712" spans="2:8" x14ac:dyDescent="0.3">
      <c r="B712" s="31">
        <v>705</v>
      </c>
      <c r="C712" s="32">
        <v>43750</v>
      </c>
      <c r="D712" s="33" t="s">
        <v>156</v>
      </c>
      <c r="E712" s="34" t="s">
        <v>157</v>
      </c>
      <c r="F712" s="31" t="s">
        <v>124</v>
      </c>
      <c r="G712" s="31" t="s">
        <v>128</v>
      </c>
      <c r="H712" s="35">
        <v>1512810</v>
      </c>
    </row>
    <row r="713" spans="2:8" x14ac:dyDescent="0.3">
      <c r="B713" s="31">
        <v>706</v>
      </c>
      <c r="C713" s="32">
        <v>43748</v>
      </c>
      <c r="D713" s="33" t="s">
        <v>137</v>
      </c>
      <c r="E713" s="34" t="s">
        <v>138</v>
      </c>
      <c r="F713" s="31" t="s">
        <v>124</v>
      </c>
      <c r="G713" s="31" t="s">
        <v>141</v>
      </c>
      <c r="H713" s="35">
        <v>1390830</v>
      </c>
    </row>
    <row r="714" spans="2:8" x14ac:dyDescent="0.3">
      <c r="B714" s="31">
        <v>707</v>
      </c>
      <c r="C714" s="32">
        <v>43750</v>
      </c>
      <c r="D714" s="33" t="s">
        <v>156</v>
      </c>
      <c r="E714" s="34" t="s">
        <v>157</v>
      </c>
      <c r="F714" s="31" t="s">
        <v>144</v>
      </c>
      <c r="G714" s="31" t="s">
        <v>136</v>
      </c>
      <c r="H714" s="35">
        <v>1390830</v>
      </c>
    </row>
    <row r="715" spans="2:8" x14ac:dyDescent="0.3">
      <c r="B715" s="31">
        <v>708</v>
      </c>
      <c r="C715" s="32">
        <v>43742</v>
      </c>
      <c r="D715" s="33" t="s">
        <v>137</v>
      </c>
      <c r="E715" s="34" t="s">
        <v>138</v>
      </c>
      <c r="F715" s="31" t="s">
        <v>135</v>
      </c>
      <c r="G715" s="31" t="s">
        <v>125</v>
      </c>
      <c r="H715" s="35">
        <v>1390830</v>
      </c>
    </row>
    <row r="716" spans="2:8" x14ac:dyDescent="0.3">
      <c r="B716" s="31">
        <v>709</v>
      </c>
      <c r="C716" s="32">
        <v>43742</v>
      </c>
      <c r="D716" s="33" t="s">
        <v>156</v>
      </c>
      <c r="E716" s="34" t="s">
        <v>157</v>
      </c>
      <c r="F716" s="31" t="s">
        <v>135</v>
      </c>
      <c r="G716" s="31" t="s">
        <v>141</v>
      </c>
      <c r="H716" s="35">
        <v>1390830</v>
      </c>
    </row>
    <row r="717" spans="2:8" x14ac:dyDescent="0.3">
      <c r="B717" s="31">
        <v>710</v>
      </c>
      <c r="C717" s="32">
        <v>43744</v>
      </c>
      <c r="D717" s="33" t="s">
        <v>142</v>
      </c>
      <c r="E717" s="34" t="s">
        <v>143</v>
      </c>
      <c r="F717" s="31" t="s">
        <v>124</v>
      </c>
      <c r="G717" s="31" t="s">
        <v>125</v>
      </c>
      <c r="H717" s="35">
        <v>1390830</v>
      </c>
    </row>
    <row r="718" spans="2:8" x14ac:dyDescent="0.3">
      <c r="B718" s="31">
        <v>711</v>
      </c>
      <c r="C718" s="32">
        <v>43750</v>
      </c>
      <c r="D718" s="33" t="s">
        <v>150</v>
      </c>
      <c r="E718" s="34" t="s">
        <v>151</v>
      </c>
      <c r="F718" s="31" t="s">
        <v>135</v>
      </c>
      <c r="G718" s="31" t="s">
        <v>141</v>
      </c>
      <c r="H718" s="35">
        <v>1715190</v>
      </c>
    </row>
    <row r="719" spans="2:8" x14ac:dyDescent="0.3">
      <c r="B719" s="31">
        <v>712</v>
      </c>
      <c r="C719" s="32">
        <v>43737</v>
      </c>
      <c r="D719" s="33" t="s">
        <v>133</v>
      </c>
      <c r="E719" s="34" t="s">
        <v>134</v>
      </c>
      <c r="F719" s="31" t="s">
        <v>124</v>
      </c>
      <c r="G719" s="31" t="s">
        <v>125</v>
      </c>
      <c r="H719" s="35">
        <v>1599500</v>
      </c>
    </row>
    <row r="720" spans="2:8" x14ac:dyDescent="0.3">
      <c r="B720" s="31">
        <v>713</v>
      </c>
      <c r="C720" s="32">
        <v>43750</v>
      </c>
      <c r="D720" s="33" t="s">
        <v>150</v>
      </c>
      <c r="E720" s="34" t="s">
        <v>151</v>
      </c>
      <c r="F720" s="31" t="s">
        <v>144</v>
      </c>
      <c r="G720" s="31" t="s">
        <v>141</v>
      </c>
      <c r="H720" s="35">
        <v>0</v>
      </c>
    </row>
    <row r="721" spans="2:8" x14ac:dyDescent="0.3">
      <c r="B721" s="31">
        <v>714</v>
      </c>
      <c r="C721" s="32">
        <v>43755</v>
      </c>
      <c r="D721" s="33" t="s">
        <v>156</v>
      </c>
      <c r="E721" s="34" t="s">
        <v>157</v>
      </c>
      <c r="F721" s="31" t="s">
        <v>124</v>
      </c>
      <c r="G721" s="31" t="s">
        <v>136</v>
      </c>
      <c r="H721" s="35">
        <v>1360830</v>
      </c>
    </row>
    <row r="722" spans="2:8" x14ac:dyDescent="0.3">
      <c r="B722" s="31">
        <v>715</v>
      </c>
      <c r="C722" s="32">
        <v>43766</v>
      </c>
      <c r="D722" s="33" t="s">
        <v>165</v>
      </c>
      <c r="E722" s="34" t="s">
        <v>166</v>
      </c>
      <c r="F722" s="31" t="s">
        <v>147</v>
      </c>
      <c r="G722" s="31" t="s">
        <v>141</v>
      </c>
      <c r="H722" s="35">
        <v>1398040</v>
      </c>
    </row>
    <row r="723" spans="2:8" x14ac:dyDescent="0.3">
      <c r="B723" s="31">
        <v>716</v>
      </c>
      <c r="C723" s="32">
        <v>43762</v>
      </c>
      <c r="D723" s="33" t="s">
        <v>133</v>
      </c>
      <c r="E723" s="34" t="s">
        <v>134</v>
      </c>
      <c r="F723" s="31" t="s">
        <v>147</v>
      </c>
      <c r="G723" s="31" t="s">
        <v>158</v>
      </c>
      <c r="H723" s="35">
        <v>1398040</v>
      </c>
    </row>
    <row r="724" spans="2:8" x14ac:dyDescent="0.3">
      <c r="B724" s="31">
        <v>717</v>
      </c>
      <c r="C724" s="32">
        <v>43741</v>
      </c>
      <c r="D724" s="33" t="s">
        <v>165</v>
      </c>
      <c r="E724" s="34" t="s">
        <v>166</v>
      </c>
      <c r="F724" s="31" t="s">
        <v>124</v>
      </c>
      <c r="G724" s="31" t="s">
        <v>141</v>
      </c>
      <c r="H724" s="35">
        <v>1710990</v>
      </c>
    </row>
    <row r="725" spans="2:8" x14ac:dyDescent="0.3">
      <c r="B725" s="31">
        <v>718</v>
      </c>
      <c r="C725" s="32">
        <v>43741</v>
      </c>
      <c r="D725" s="33" t="s">
        <v>156</v>
      </c>
      <c r="E725" s="34" t="s">
        <v>157</v>
      </c>
      <c r="F725" s="31" t="s">
        <v>144</v>
      </c>
      <c r="G725" s="31" t="s">
        <v>136</v>
      </c>
      <c r="H725" s="35">
        <v>1390830</v>
      </c>
    </row>
    <row r="726" spans="2:8" x14ac:dyDescent="0.3">
      <c r="B726" s="31">
        <v>719</v>
      </c>
      <c r="C726" s="32">
        <v>43758</v>
      </c>
      <c r="D726" s="33" t="s">
        <v>126</v>
      </c>
      <c r="E726" s="34" t="s">
        <v>127</v>
      </c>
      <c r="F726" s="31" t="s">
        <v>124</v>
      </c>
      <c r="G726" s="31" t="s">
        <v>125</v>
      </c>
      <c r="H726" s="35">
        <v>1726530</v>
      </c>
    </row>
    <row r="727" spans="2:8" x14ac:dyDescent="0.3">
      <c r="B727" s="31">
        <v>720</v>
      </c>
      <c r="C727" s="32">
        <v>43765</v>
      </c>
      <c r="D727" s="33" t="s">
        <v>145</v>
      </c>
      <c r="E727" s="34" t="s">
        <v>146</v>
      </c>
      <c r="F727" s="31" t="s">
        <v>124</v>
      </c>
      <c r="G727" s="31" t="s">
        <v>128</v>
      </c>
      <c r="H727" s="35">
        <v>1612210</v>
      </c>
    </row>
    <row r="728" spans="2:8" x14ac:dyDescent="0.3">
      <c r="B728" s="31">
        <v>721</v>
      </c>
      <c r="C728" s="32">
        <v>43752</v>
      </c>
      <c r="D728" s="33" t="s">
        <v>126</v>
      </c>
      <c r="E728" s="34" t="s">
        <v>127</v>
      </c>
      <c r="F728" s="31" t="s">
        <v>131</v>
      </c>
      <c r="G728" s="31" t="s">
        <v>132</v>
      </c>
      <c r="H728" s="35">
        <v>1725840</v>
      </c>
    </row>
    <row r="729" spans="2:8" x14ac:dyDescent="0.3">
      <c r="B729" s="31">
        <v>722</v>
      </c>
      <c r="C729" s="32">
        <v>43744</v>
      </c>
      <c r="D729" s="33" t="s">
        <v>154</v>
      </c>
      <c r="E729" s="34" t="s">
        <v>155</v>
      </c>
      <c r="F729" s="31" t="s">
        <v>124</v>
      </c>
      <c r="G729" s="31" t="s">
        <v>158</v>
      </c>
      <c r="H729" s="35">
        <v>1619360</v>
      </c>
    </row>
    <row r="730" spans="2:8" x14ac:dyDescent="0.3">
      <c r="B730" s="31">
        <v>723</v>
      </c>
      <c r="C730" s="32">
        <v>43738</v>
      </c>
      <c r="D730" s="33" t="s">
        <v>142</v>
      </c>
      <c r="E730" s="34" t="s">
        <v>143</v>
      </c>
      <c r="F730" s="31" t="s">
        <v>147</v>
      </c>
      <c r="G730" s="31" t="s">
        <v>141</v>
      </c>
      <c r="H730" s="35">
        <v>1303940</v>
      </c>
    </row>
    <row r="731" spans="2:8" x14ac:dyDescent="0.3">
      <c r="B731" s="31">
        <v>724</v>
      </c>
      <c r="C731" s="32">
        <v>43757</v>
      </c>
      <c r="D731" s="33" t="s">
        <v>150</v>
      </c>
      <c r="E731" s="34" t="s">
        <v>151</v>
      </c>
      <c r="F731" s="31" t="s">
        <v>147</v>
      </c>
      <c r="G731" s="31" t="s">
        <v>132</v>
      </c>
      <c r="H731" s="35">
        <v>1440260</v>
      </c>
    </row>
    <row r="732" spans="2:8" x14ac:dyDescent="0.3">
      <c r="B732" s="31">
        <v>725</v>
      </c>
      <c r="C732" s="32">
        <v>43757</v>
      </c>
      <c r="D732" s="33" t="s">
        <v>167</v>
      </c>
      <c r="E732" s="34" t="s">
        <v>168</v>
      </c>
      <c r="F732" s="31" t="s">
        <v>124</v>
      </c>
      <c r="G732" s="31" t="s">
        <v>158</v>
      </c>
      <c r="H732" s="35">
        <v>1337470</v>
      </c>
    </row>
    <row r="733" spans="2:8" x14ac:dyDescent="0.3">
      <c r="B733" s="31">
        <v>726</v>
      </c>
      <c r="C733" s="32">
        <v>43751</v>
      </c>
      <c r="D733" s="33" t="s">
        <v>154</v>
      </c>
      <c r="E733" s="34" t="s">
        <v>155</v>
      </c>
      <c r="F733" s="31" t="s">
        <v>144</v>
      </c>
      <c r="G733" s="31" t="s">
        <v>136</v>
      </c>
      <c r="H733" s="35">
        <v>1337470</v>
      </c>
    </row>
    <row r="734" spans="2:8" x14ac:dyDescent="0.3">
      <c r="B734" s="31">
        <v>727</v>
      </c>
      <c r="C734" s="32">
        <v>43750</v>
      </c>
      <c r="D734" s="33" t="s">
        <v>139</v>
      </c>
      <c r="E734" s="34" t="s">
        <v>140</v>
      </c>
      <c r="F734" s="31" t="s">
        <v>131</v>
      </c>
      <c r="G734" s="31" t="s">
        <v>125</v>
      </c>
      <c r="H734" s="35">
        <v>1676310</v>
      </c>
    </row>
    <row r="735" spans="2:8" x14ac:dyDescent="0.3">
      <c r="B735" s="31">
        <v>728</v>
      </c>
      <c r="C735" s="32">
        <v>43751</v>
      </c>
      <c r="D735" s="33" t="s">
        <v>133</v>
      </c>
      <c r="E735" s="34" t="s">
        <v>134</v>
      </c>
      <c r="F735" s="31" t="s">
        <v>124</v>
      </c>
      <c r="G735" s="31" t="s">
        <v>128</v>
      </c>
      <c r="H735" s="35">
        <v>1676310</v>
      </c>
    </row>
    <row r="736" spans="2:8" x14ac:dyDescent="0.3">
      <c r="B736" s="31">
        <v>729</v>
      </c>
      <c r="C736" s="32">
        <v>43751</v>
      </c>
      <c r="D736" s="33" t="s">
        <v>154</v>
      </c>
      <c r="E736" s="34" t="s">
        <v>155</v>
      </c>
      <c r="F736" s="31" t="s">
        <v>144</v>
      </c>
      <c r="G736" s="31" t="s">
        <v>128</v>
      </c>
      <c r="H736" s="35">
        <v>1715330</v>
      </c>
    </row>
    <row r="737" spans="2:8" x14ac:dyDescent="0.3">
      <c r="B737" s="31">
        <v>730</v>
      </c>
      <c r="C737" s="32">
        <v>43737</v>
      </c>
      <c r="D737" s="33" t="s">
        <v>165</v>
      </c>
      <c r="E737" s="34" t="s">
        <v>166</v>
      </c>
      <c r="F737" s="31" t="s">
        <v>144</v>
      </c>
      <c r="G737" s="31" t="s">
        <v>132</v>
      </c>
      <c r="H737" s="35">
        <v>1364390</v>
      </c>
    </row>
    <row r="738" spans="2:8" x14ac:dyDescent="0.3">
      <c r="B738" s="31">
        <v>731</v>
      </c>
      <c r="C738" s="32">
        <v>43765</v>
      </c>
      <c r="D738" s="33" t="s">
        <v>133</v>
      </c>
      <c r="E738" s="34" t="s">
        <v>134</v>
      </c>
      <c r="F738" s="31" t="s">
        <v>124</v>
      </c>
      <c r="G738" s="31" t="s">
        <v>125</v>
      </c>
      <c r="H738" s="35">
        <v>1364390</v>
      </c>
    </row>
    <row r="739" spans="2:8" x14ac:dyDescent="0.3">
      <c r="B739" s="31">
        <v>732</v>
      </c>
      <c r="C739" s="32">
        <v>43749</v>
      </c>
      <c r="D739" s="33" t="s">
        <v>165</v>
      </c>
      <c r="E739" s="34" t="s">
        <v>166</v>
      </c>
      <c r="F739" s="31" t="s">
        <v>131</v>
      </c>
      <c r="G739" s="31" t="s">
        <v>132</v>
      </c>
      <c r="H739" s="35">
        <v>1364390</v>
      </c>
    </row>
    <row r="740" spans="2:8" x14ac:dyDescent="0.3">
      <c r="B740" s="31">
        <v>733</v>
      </c>
      <c r="C740" s="32">
        <v>43765</v>
      </c>
      <c r="D740" s="33" t="s">
        <v>142</v>
      </c>
      <c r="E740" s="34" t="s">
        <v>143</v>
      </c>
      <c r="F740" s="31" t="s">
        <v>147</v>
      </c>
      <c r="G740" s="31" t="s">
        <v>158</v>
      </c>
      <c r="H740" s="35">
        <v>1364390</v>
      </c>
    </row>
    <row r="741" spans="2:8" x14ac:dyDescent="0.3">
      <c r="B741" s="31">
        <v>734</v>
      </c>
      <c r="C741" s="32">
        <v>43742</v>
      </c>
      <c r="D741" s="33" t="s">
        <v>150</v>
      </c>
      <c r="E741" s="34" t="s">
        <v>151</v>
      </c>
      <c r="F741" s="31" t="s">
        <v>144</v>
      </c>
      <c r="G741" s="31" t="s">
        <v>141</v>
      </c>
      <c r="H741" s="35">
        <v>1364390</v>
      </c>
    </row>
    <row r="742" spans="2:8" x14ac:dyDescent="0.3">
      <c r="B742" s="31">
        <v>735</v>
      </c>
      <c r="C742" s="32">
        <v>43744</v>
      </c>
      <c r="D742" s="33" t="s">
        <v>145</v>
      </c>
      <c r="E742" s="34" t="s">
        <v>146</v>
      </c>
      <c r="F742" s="31" t="s">
        <v>131</v>
      </c>
      <c r="G742" s="31" t="s">
        <v>141</v>
      </c>
      <c r="H742" s="35">
        <v>1780000</v>
      </c>
    </row>
    <row r="743" spans="2:8" x14ac:dyDescent="0.3">
      <c r="B743" s="31">
        <v>736</v>
      </c>
      <c r="C743" s="32">
        <v>43750</v>
      </c>
      <c r="D743" s="33" t="s">
        <v>161</v>
      </c>
      <c r="E743" s="34" t="s">
        <v>162</v>
      </c>
      <c r="F743" s="31" t="s">
        <v>135</v>
      </c>
      <c r="G743" s="31" t="s">
        <v>141</v>
      </c>
      <c r="H743" s="35">
        <v>1400000</v>
      </c>
    </row>
    <row r="744" spans="2:8" x14ac:dyDescent="0.3">
      <c r="B744" s="31">
        <v>737</v>
      </c>
      <c r="C744" s="32">
        <v>43758</v>
      </c>
      <c r="D744" s="33" t="s">
        <v>152</v>
      </c>
      <c r="E744" s="34" t="s">
        <v>153</v>
      </c>
      <c r="F744" s="31" t="s">
        <v>131</v>
      </c>
      <c r="G744" s="31" t="s">
        <v>141</v>
      </c>
      <c r="H744" s="35">
        <v>1350000</v>
      </c>
    </row>
    <row r="745" spans="2:8" x14ac:dyDescent="0.3">
      <c r="B745" s="31">
        <v>738</v>
      </c>
      <c r="C745" s="32">
        <v>43749</v>
      </c>
      <c r="D745" s="33" t="s">
        <v>139</v>
      </c>
      <c r="E745" s="34" t="s">
        <v>140</v>
      </c>
      <c r="F745" s="31" t="s">
        <v>144</v>
      </c>
      <c r="G745" s="31" t="s">
        <v>128</v>
      </c>
      <c r="H745" s="35">
        <v>1300000</v>
      </c>
    </row>
    <row r="746" spans="2:8" x14ac:dyDescent="0.3">
      <c r="B746" s="31">
        <v>739</v>
      </c>
      <c r="C746" s="32">
        <v>43737</v>
      </c>
      <c r="D746" s="33" t="s">
        <v>137</v>
      </c>
      <c r="E746" s="34" t="s">
        <v>138</v>
      </c>
      <c r="F746" s="31" t="s">
        <v>131</v>
      </c>
      <c r="G746" s="31" t="s">
        <v>125</v>
      </c>
      <c r="H746" s="35">
        <v>1346220</v>
      </c>
    </row>
    <row r="747" spans="2:8" x14ac:dyDescent="0.3">
      <c r="B747" s="31">
        <v>740</v>
      </c>
      <c r="C747" s="32">
        <v>43757</v>
      </c>
      <c r="D747" s="33" t="s">
        <v>148</v>
      </c>
      <c r="E747" s="34" t="s">
        <v>149</v>
      </c>
      <c r="F747" s="31" t="s">
        <v>147</v>
      </c>
      <c r="G747" s="31" t="s">
        <v>158</v>
      </c>
      <c r="H747" s="35">
        <v>1797000</v>
      </c>
    </row>
    <row r="748" spans="2:8" x14ac:dyDescent="0.3">
      <c r="B748" s="31">
        <v>741</v>
      </c>
      <c r="C748" s="32">
        <v>43765</v>
      </c>
      <c r="D748" s="33" t="s">
        <v>122</v>
      </c>
      <c r="E748" s="34" t="s">
        <v>123</v>
      </c>
      <c r="F748" s="31" t="s">
        <v>135</v>
      </c>
      <c r="G748" s="31" t="s">
        <v>136</v>
      </c>
      <c r="H748" s="35">
        <v>1998020</v>
      </c>
    </row>
    <row r="749" spans="2:8" x14ac:dyDescent="0.3">
      <c r="B749" s="31">
        <v>742</v>
      </c>
      <c r="C749" s="32">
        <v>43758</v>
      </c>
      <c r="D749" s="33" t="s">
        <v>163</v>
      </c>
      <c r="E749" s="34" t="s">
        <v>164</v>
      </c>
      <c r="F749" s="31" t="s">
        <v>147</v>
      </c>
      <c r="G749" s="31" t="s">
        <v>136</v>
      </c>
      <c r="H749" s="35">
        <v>1389660</v>
      </c>
    </row>
    <row r="750" spans="2:8" x14ac:dyDescent="0.3">
      <c r="B750" s="31">
        <v>743</v>
      </c>
      <c r="C750" s="32">
        <v>43757</v>
      </c>
      <c r="D750" s="33" t="s">
        <v>165</v>
      </c>
      <c r="E750" s="34" t="s">
        <v>166</v>
      </c>
      <c r="F750" s="31" t="s">
        <v>144</v>
      </c>
      <c r="G750" s="31" t="s">
        <v>132</v>
      </c>
      <c r="H750" s="35">
        <v>1555600</v>
      </c>
    </row>
    <row r="751" spans="2:8" x14ac:dyDescent="0.3">
      <c r="B751" s="31">
        <v>744</v>
      </c>
      <c r="C751" s="32">
        <v>43758</v>
      </c>
      <c r="D751" s="33" t="s">
        <v>156</v>
      </c>
      <c r="E751" s="34" t="s">
        <v>157</v>
      </c>
      <c r="F751" s="31" t="s">
        <v>147</v>
      </c>
      <c r="G751" s="31" t="s">
        <v>125</v>
      </c>
      <c r="H751" s="35">
        <v>1782100</v>
      </c>
    </row>
    <row r="752" spans="2:8" x14ac:dyDescent="0.3">
      <c r="B752" s="31">
        <v>745</v>
      </c>
      <c r="C752" s="32">
        <v>43765</v>
      </c>
      <c r="D752" s="33" t="s">
        <v>133</v>
      </c>
      <c r="E752" s="34" t="s">
        <v>134</v>
      </c>
      <c r="F752" s="31" t="s">
        <v>124</v>
      </c>
      <c r="G752" s="31" t="s">
        <v>158</v>
      </c>
      <c r="H752" s="35">
        <v>1364510</v>
      </c>
    </row>
    <row r="753" spans="2:8" x14ac:dyDescent="0.3">
      <c r="B753" s="31">
        <v>746</v>
      </c>
      <c r="C753" s="32">
        <v>43742</v>
      </c>
      <c r="D753" s="33" t="s">
        <v>163</v>
      </c>
      <c r="E753" s="34" t="s">
        <v>164</v>
      </c>
      <c r="F753" s="31" t="s">
        <v>144</v>
      </c>
      <c r="G753" s="31" t="s">
        <v>136</v>
      </c>
      <c r="H753" s="35">
        <v>1169040</v>
      </c>
    </row>
    <row r="754" spans="2:8" x14ac:dyDescent="0.3">
      <c r="B754" s="31">
        <v>747</v>
      </c>
      <c r="C754" s="32">
        <v>43759</v>
      </c>
      <c r="D754" s="33" t="s">
        <v>137</v>
      </c>
      <c r="E754" s="34" t="s">
        <v>138</v>
      </c>
      <c r="F754" s="31" t="s">
        <v>131</v>
      </c>
      <c r="G754" s="31" t="s">
        <v>132</v>
      </c>
      <c r="H754" s="35">
        <v>1158480</v>
      </c>
    </row>
    <row r="755" spans="2:8" x14ac:dyDescent="0.3">
      <c r="B755" s="31">
        <v>748</v>
      </c>
      <c r="C755" s="32">
        <v>43738</v>
      </c>
      <c r="D755" s="33" t="s">
        <v>142</v>
      </c>
      <c r="E755" s="34" t="s">
        <v>143</v>
      </c>
      <c r="F755" s="31" t="s">
        <v>131</v>
      </c>
      <c r="G755" s="31" t="s">
        <v>158</v>
      </c>
      <c r="H755" s="35">
        <v>1302310</v>
      </c>
    </row>
    <row r="756" spans="2:8" x14ac:dyDescent="0.3">
      <c r="B756" s="31">
        <v>749</v>
      </c>
      <c r="C756" s="32">
        <v>43759</v>
      </c>
      <c r="D756" s="33" t="s">
        <v>154</v>
      </c>
      <c r="E756" s="34" t="s">
        <v>155</v>
      </c>
      <c r="F756" s="31" t="s">
        <v>147</v>
      </c>
      <c r="G756" s="31" t="s">
        <v>158</v>
      </c>
      <c r="H756" s="35">
        <v>1613630</v>
      </c>
    </row>
    <row r="757" spans="2:8" x14ac:dyDescent="0.3">
      <c r="B757" s="31">
        <v>750</v>
      </c>
      <c r="C757" s="32">
        <v>43744</v>
      </c>
      <c r="D757" s="33" t="s">
        <v>148</v>
      </c>
      <c r="E757" s="34" t="s">
        <v>149</v>
      </c>
      <c r="F757" s="31" t="s">
        <v>144</v>
      </c>
      <c r="G757" s="31" t="s">
        <v>128</v>
      </c>
      <c r="H757" s="35">
        <v>1822010</v>
      </c>
    </row>
    <row r="758" spans="2:8" x14ac:dyDescent="0.3">
      <c r="B758" s="31">
        <v>751</v>
      </c>
      <c r="C758" s="32">
        <v>43744</v>
      </c>
      <c r="D758" s="33" t="s">
        <v>156</v>
      </c>
      <c r="E758" s="34" t="s">
        <v>157</v>
      </c>
      <c r="F758" s="31" t="s">
        <v>131</v>
      </c>
      <c r="G758" s="31" t="s">
        <v>132</v>
      </c>
      <c r="H758" s="35">
        <v>1460530</v>
      </c>
    </row>
    <row r="759" spans="2:8" x14ac:dyDescent="0.3">
      <c r="B759" s="31">
        <v>752</v>
      </c>
      <c r="C759" s="32">
        <v>43752</v>
      </c>
      <c r="D759" s="33" t="s">
        <v>129</v>
      </c>
      <c r="E759" s="34" t="s">
        <v>130</v>
      </c>
      <c r="F759" s="31" t="s">
        <v>144</v>
      </c>
      <c r="G759" s="31" t="s">
        <v>141</v>
      </c>
      <c r="H759" s="35">
        <v>1424780</v>
      </c>
    </row>
    <row r="760" spans="2:8" x14ac:dyDescent="0.3">
      <c r="B760" s="31">
        <v>753</v>
      </c>
      <c r="C760" s="32">
        <v>43743</v>
      </c>
      <c r="D760" s="33" t="s">
        <v>161</v>
      </c>
      <c r="E760" s="34" t="s">
        <v>162</v>
      </c>
      <c r="F760" s="31" t="s">
        <v>147</v>
      </c>
      <c r="G760" s="31" t="s">
        <v>158</v>
      </c>
      <c r="H760" s="35">
        <v>1640010</v>
      </c>
    </row>
    <row r="761" spans="2:8" x14ac:dyDescent="0.3">
      <c r="B761" s="31">
        <v>754</v>
      </c>
      <c r="C761" s="32">
        <v>43744</v>
      </c>
      <c r="D761" s="33" t="s">
        <v>150</v>
      </c>
      <c r="E761" s="34" t="s">
        <v>151</v>
      </c>
      <c r="F761" s="31" t="s">
        <v>144</v>
      </c>
      <c r="G761" s="31" t="s">
        <v>158</v>
      </c>
      <c r="H761" s="35">
        <v>1403480</v>
      </c>
    </row>
    <row r="762" spans="2:8" x14ac:dyDescent="0.3">
      <c r="B762" s="31">
        <v>755</v>
      </c>
      <c r="C762" s="32">
        <v>43762</v>
      </c>
      <c r="D762" s="33" t="s">
        <v>126</v>
      </c>
      <c r="E762" s="34" t="s">
        <v>127</v>
      </c>
      <c r="F762" s="31" t="s">
        <v>135</v>
      </c>
      <c r="G762" s="31" t="s">
        <v>136</v>
      </c>
      <c r="H762" s="35">
        <v>1424780</v>
      </c>
    </row>
    <row r="763" spans="2:8" x14ac:dyDescent="0.3">
      <c r="B763" s="31">
        <v>756</v>
      </c>
      <c r="C763" s="32">
        <v>43766</v>
      </c>
      <c r="D763" s="33" t="s">
        <v>133</v>
      </c>
      <c r="E763" s="34" t="s">
        <v>134</v>
      </c>
      <c r="F763" s="31" t="s">
        <v>135</v>
      </c>
      <c r="G763" s="31" t="s">
        <v>128</v>
      </c>
      <c r="H763" s="35">
        <v>1390820</v>
      </c>
    </row>
    <row r="764" spans="2:8" x14ac:dyDescent="0.3">
      <c r="B764" s="31">
        <v>757</v>
      </c>
      <c r="C764" s="32">
        <v>43743</v>
      </c>
      <c r="D764" s="33" t="s">
        <v>145</v>
      </c>
      <c r="E764" s="34" t="s">
        <v>146</v>
      </c>
      <c r="F764" s="31" t="s">
        <v>135</v>
      </c>
      <c r="G764" s="31" t="s">
        <v>136</v>
      </c>
      <c r="H764" s="35">
        <v>1504200</v>
      </c>
    </row>
    <row r="765" spans="2:8" x14ac:dyDescent="0.3">
      <c r="B765" s="31">
        <v>758</v>
      </c>
      <c r="C765" s="32">
        <v>43763</v>
      </c>
      <c r="D765" s="33" t="s">
        <v>145</v>
      </c>
      <c r="E765" s="34" t="s">
        <v>146</v>
      </c>
      <c r="F765" s="31" t="s">
        <v>131</v>
      </c>
      <c r="G765" s="31" t="s">
        <v>132</v>
      </c>
      <c r="H765" s="35">
        <v>1471480</v>
      </c>
    </row>
    <row r="766" spans="2:8" x14ac:dyDescent="0.3">
      <c r="B766" s="31">
        <v>759</v>
      </c>
      <c r="C766" s="32">
        <v>43750</v>
      </c>
      <c r="D766" s="33" t="s">
        <v>137</v>
      </c>
      <c r="E766" s="34" t="s">
        <v>138</v>
      </c>
      <c r="F766" s="31" t="s">
        <v>131</v>
      </c>
      <c r="G766" s="31" t="s">
        <v>158</v>
      </c>
      <c r="H766" s="35">
        <v>1924780</v>
      </c>
    </row>
    <row r="767" spans="2:8" x14ac:dyDescent="0.3">
      <c r="B767" s="31">
        <v>760</v>
      </c>
      <c r="C767" s="32">
        <v>43756</v>
      </c>
      <c r="D767" s="33" t="s">
        <v>165</v>
      </c>
      <c r="E767" s="34" t="s">
        <v>166</v>
      </c>
      <c r="F767" s="31" t="s">
        <v>135</v>
      </c>
      <c r="G767" s="31" t="s">
        <v>128</v>
      </c>
      <c r="H767" s="35">
        <v>1662340</v>
      </c>
    </row>
    <row r="768" spans="2:8" x14ac:dyDescent="0.3">
      <c r="B768" s="31">
        <v>761</v>
      </c>
      <c r="C768" s="32">
        <v>43759</v>
      </c>
      <c r="D768" s="33" t="s">
        <v>156</v>
      </c>
      <c r="E768" s="34" t="s">
        <v>157</v>
      </c>
      <c r="F768" s="31" t="s">
        <v>131</v>
      </c>
      <c r="G768" s="31" t="s">
        <v>125</v>
      </c>
      <c r="H768" s="35">
        <v>1142610</v>
      </c>
    </row>
    <row r="769" spans="2:8" x14ac:dyDescent="0.3">
      <c r="B769" s="31">
        <v>762</v>
      </c>
      <c r="C769" s="32">
        <v>43759</v>
      </c>
      <c r="D769" s="33" t="s">
        <v>148</v>
      </c>
      <c r="E769" s="34" t="s">
        <v>149</v>
      </c>
      <c r="F769" s="31" t="s">
        <v>144</v>
      </c>
      <c r="G769" s="31" t="s">
        <v>136</v>
      </c>
      <c r="H769" s="35">
        <v>1367470</v>
      </c>
    </row>
    <row r="770" spans="2:8" x14ac:dyDescent="0.3">
      <c r="B770" s="31">
        <v>763</v>
      </c>
      <c r="C770" s="32">
        <v>43759</v>
      </c>
      <c r="D770" s="33" t="s">
        <v>156</v>
      </c>
      <c r="E770" s="34" t="s">
        <v>157</v>
      </c>
      <c r="F770" s="31" t="s">
        <v>135</v>
      </c>
      <c r="G770" s="31" t="s">
        <v>141</v>
      </c>
      <c r="H770" s="35">
        <v>1317280</v>
      </c>
    </row>
    <row r="771" spans="2:8" x14ac:dyDescent="0.3">
      <c r="B771" s="31">
        <v>764</v>
      </c>
      <c r="C771" s="32">
        <v>43759</v>
      </c>
      <c r="D771" s="33" t="s">
        <v>161</v>
      </c>
      <c r="E771" s="34" t="s">
        <v>162</v>
      </c>
      <c r="F771" s="31" t="s">
        <v>135</v>
      </c>
      <c r="G771" s="31" t="s">
        <v>132</v>
      </c>
      <c r="H771" s="35">
        <v>1576390</v>
      </c>
    </row>
    <row r="772" spans="2:8" x14ac:dyDescent="0.3">
      <c r="B772" s="31">
        <v>765</v>
      </c>
      <c r="C772" s="32">
        <v>43758</v>
      </c>
      <c r="D772" s="33" t="s">
        <v>129</v>
      </c>
      <c r="E772" s="34" t="s">
        <v>130</v>
      </c>
      <c r="F772" s="31" t="s">
        <v>135</v>
      </c>
      <c r="G772" s="31" t="s">
        <v>132</v>
      </c>
      <c r="H772" s="35">
        <v>1458370</v>
      </c>
    </row>
    <row r="773" spans="2:8" x14ac:dyDescent="0.3">
      <c r="B773" s="31">
        <v>766</v>
      </c>
      <c r="C773" s="32">
        <v>43744</v>
      </c>
      <c r="D773" s="33" t="s">
        <v>167</v>
      </c>
      <c r="E773" s="34" t="s">
        <v>168</v>
      </c>
      <c r="F773" s="31" t="s">
        <v>131</v>
      </c>
      <c r="G773" s="31" t="s">
        <v>136</v>
      </c>
      <c r="H773" s="35">
        <v>1354990</v>
      </c>
    </row>
    <row r="774" spans="2:8" x14ac:dyDescent="0.3">
      <c r="B774" s="31">
        <v>767</v>
      </c>
      <c r="C774" s="32">
        <v>43737</v>
      </c>
      <c r="D774" s="33" t="s">
        <v>165</v>
      </c>
      <c r="E774" s="34" t="s">
        <v>166</v>
      </c>
      <c r="F774" s="31" t="s">
        <v>131</v>
      </c>
      <c r="G774" s="31" t="s">
        <v>141</v>
      </c>
      <c r="H774" s="35">
        <v>1657840</v>
      </c>
    </row>
    <row r="775" spans="2:8" x14ac:dyDescent="0.3">
      <c r="B775" s="31">
        <v>768</v>
      </c>
      <c r="C775" s="32">
        <v>43741</v>
      </c>
      <c r="D775" s="33" t="s">
        <v>139</v>
      </c>
      <c r="E775" s="34" t="s">
        <v>140</v>
      </c>
      <c r="F775" s="31" t="s">
        <v>135</v>
      </c>
      <c r="G775" s="31" t="s">
        <v>136</v>
      </c>
      <c r="H775" s="35">
        <v>2241820</v>
      </c>
    </row>
    <row r="776" spans="2:8" x14ac:dyDescent="0.3">
      <c r="B776" s="31">
        <v>769</v>
      </c>
      <c r="C776" s="32">
        <v>43749</v>
      </c>
      <c r="D776" s="33" t="s">
        <v>159</v>
      </c>
      <c r="E776" s="34" t="s">
        <v>160</v>
      </c>
      <c r="F776" s="31" t="s">
        <v>144</v>
      </c>
      <c r="G776" s="31" t="s">
        <v>158</v>
      </c>
      <c r="H776" s="35">
        <v>1296310</v>
      </c>
    </row>
    <row r="777" spans="2:8" x14ac:dyDescent="0.3">
      <c r="B777" s="31">
        <v>770</v>
      </c>
      <c r="C777" s="32">
        <v>43765</v>
      </c>
      <c r="D777" s="33" t="s">
        <v>165</v>
      </c>
      <c r="E777" s="34" t="s">
        <v>166</v>
      </c>
      <c r="F777" s="31" t="s">
        <v>147</v>
      </c>
      <c r="G777" s="31" t="s">
        <v>141</v>
      </c>
      <c r="H777" s="35">
        <v>1142610</v>
      </c>
    </row>
    <row r="778" spans="2:8" x14ac:dyDescent="0.3">
      <c r="B778" s="31">
        <v>771</v>
      </c>
      <c r="C778" s="32">
        <v>43766</v>
      </c>
      <c r="D778" s="33" t="s">
        <v>145</v>
      </c>
      <c r="E778" s="34" t="s">
        <v>146</v>
      </c>
      <c r="F778" s="31" t="s">
        <v>144</v>
      </c>
      <c r="G778" s="31" t="s">
        <v>125</v>
      </c>
      <c r="H778" s="35">
        <v>1142610</v>
      </c>
    </row>
    <row r="779" spans="2:8" x14ac:dyDescent="0.3">
      <c r="B779" s="31">
        <v>772</v>
      </c>
      <c r="C779" s="32">
        <v>43765</v>
      </c>
      <c r="D779" s="33" t="s">
        <v>142</v>
      </c>
      <c r="E779" s="34" t="s">
        <v>143</v>
      </c>
      <c r="F779" s="31" t="s">
        <v>147</v>
      </c>
      <c r="G779" s="31" t="s">
        <v>128</v>
      </c>
      <c r="H779" s="35">
        <v>1336450</v>
      </c>
    </row>
    <row r="780" spans="2:8" x14ac:dyDescent="0.3">
      <c r="B780" s="31">
        <v>773</v>
      </c>
      <c r="C780" s="32">
        <v>43762</v>
      </c>
      <c r="D780" s="33" t="s">
        <v>145</v>
      </c>
      <c r="E780" s="34" t="s">
        <v>146</v>
      </c>
      <c r="F780" s="31" t="s">
        <v>131</v>
      </c>
      <c r="G780" s="31" t="s">
        <v>158</v>
      </c>
      <c r="H780" s="35">
        <v>1599980</v>
      </c>
    </row>
    <row r="781" spans="2:8" x14ac:dyDescent="0.3">
      <c r="B781" s="31">
        <v>774</v>
      </c>
      <c r="C781" s="32">
        <v>43755</v>
      </c>
      <c r="D781" s="33" t="s">
        <v>154</v>
      </c>
      <c r="E781" s="34" t="s">
        <v>155</v>
      </c>
      <c r="F781" s="31" t="s">
        <v>131</v>
      </c>
      <c r="G781" s="31" t="s">
        <v>136</v>
      </c>
      <c r="H781" s="35">
        <v>1336450</v>
      </c>
    </row>
    <row r="782" spans="2:8" x14ac:dyDescent="0.3">
      <c r="B782" s="31">
        <v>775</v>
      </c>
      <c r="C782" s="32">
        <v>43765</v>
      </c>
      <c r="D782" s="33" t="s">
        <v>163</v>
      </c>
      <c r="E782" s="34" t="s">
        <v>164</v>
      </c>
      <c r="F782" s="31" t="s">
        <v>144</v>
      </c>
      <c r="G782" s="31" t="s">
        <v>136</v>
      </c>
      <c r="H782" s="35">
        <v>1300110</v>
      </c>
    </row>
    <row r="783" spans="2:8" x14ac:dyDescent="0.3">
      <c r="B783" s="31">
        <v>776</v>
      </c>
      <c r="C783" s="32">
        <v>43744</v>
      </c>
      <c r="D783" s="33" t="s">
        <v>167</v>
      </c>
      <c r="E783" s="34" t="s">
        <v>168</v>
      </c>
      <c r="F783" s="31" t="s">
        <v>131</v>
      </c>
      <c r="G783" s="31" t="s">
        <v>132</v>
      </c>
      <c r="H783" s="35">
        <v>1303200</v>
      </c>
    </row>
    <row r="784" spans="2:8" x14ac:dyDescent="0.3">
      <c r="B784" s="31">
        <v>777</v>
      </c>
      <c r="C784" s="32">
        <v>43765</v>
      </c>
      <c r="D784" s="33" t="s">
        <v>161</v>
      </c>
      <c r="E784" s="34" t="s">
        <v>162</v>
      </c>
      <c r="F784" s="31" t="s">
        <v>144</v>
      </c>
      <c r="G784" s="31" t="s">
        <v>132</v>
      </c>
      <c r="H784" s="35">
        <v>1303200</v>
      </c>
    </row>
    <row r="785" spans="2:8" x14ac:dyDescent="0.3">
      <c r="B785" s="31">
        <v>778</v>
      </c>
      <c r="C785" s="32">
        <v>43759</v>
      </c>
      <c r="D785" s="33" t="s">
        <v>139</v>
      </c>
      <c r="E785" s="34" t="s">
        <v>140</v>
      </c>
      <c r="F785" s="31" t="s">
        <v>131</v>
      </c>
      <c r="G785" s="31" t="s">
        <v>128</v>
      </c>
      <c r="H785" s="35">
        <v>302740</v>
      </c>
    </row>
    <row r="786" spans="2:8" x14ac:dyDescent="0.3">
      <c r="B786" s="31">
        <v>779</v>
      </c>
      <c r="C786" s="32">
        <v>43737</v>
      </c>
      <c r="D786" s="33" t="s">
        <v>129</v>
      </c>
      <c r="E786" s="34" t="s">
        <v>130</v>
      </c>
      <c r="F786" s="31" t="s">
        <v>144</v>
      </c>
      <c r="G786" s="31" t="s">
        <v>141</v>
      </c>
      <c r="H786" s="35">
        <v>2887090</v>
      </c>
    </row>
    <row r="787" spans="2:8" x14ac:dyDescent="0.3">
      <c r="B787" s="31">
        <v>780</v>
      </c>
      <c r="C787" s="32">
        <v>43748</v>
      </c>
      <c r="D787" s="33" t="s">
        <v>145</v>
      </c>
      <c r="E787" s="34" t="s">
        <v>146</v>
      </c>
      <c r="F787" s="31" t="s">
        <v>131</v>
      </c>
      <c r="G787" s="31" t="s">
        <v>132</v>
      </c>
      <c r="H787" s="35">
        <v>1939640</v>
      </c>
    </row>
    <row r="788" spans="2:8" x14ac:dyDescent="0.3">
      <c r="B788" s="31">
        <v>781</v>
      </c>
      <c r="C788" s="32">
        <v>43758</v>
      </c>
      <c r="D788" s="33" t="s">
        <v>167</v>
      </c>
      <c r="E788" s="34" t="s">
        <v>168</v>
      </c>
      <c r="F788" s="31" t="s">
        <v>135</v>
      </c>
      <c r="G788" s="31" t="s">
        <v>141</v>
      </c>
      <c r="H788" s="35">
        <v>970910</v>
      </c>
    </row>
    <row r="789" spans="2:8" x14ac:dyDescent="0.3">
      <c r="B789" s="31">
        <v>782</v>
      </c>
      <c r="C789" s="32">
        <v>43743</v>
      </c>
      <c r="D789" s="33" t="s">
        <v>122</v>
      </c>
      <c r="E789" s="34" t="s">
        <v>123</v>
      </c>
      <c r="F789" s="31" t="s">
        <v>131</v>
      </c>
      <c r="G789" s="31" t="s">
        <v>132</v>
      </c>
      <c r="H789" s="35">
        <v>2222330</v>
      </c>
    </row>
    <row r="790" spans="2:8" x14ac:dyDescent="0.3">
      <c r="B790" s="31">
        <v>783</v>
      </c>
      <c r="C790" s="32">
        <v>43749</v>
      </c>
      <c r="D790" s="33" t="s">
        <v>161</v>
      </c>
      <c r="E790" s="34" t="s">
        <v>162</v>
      </c>
      <c r="F790" s="31" t="s">
        <v>135</v>
      </c>
      <c r="G790" s="31" t="s">
        <v>136</v>
      </c>
      <c r="H790" s="35">
        <v>1728510</v>
      </c>
    </row>
    <row r="791" spans="2:8" x14ac:dyDescent="0.3">
      <c r="B791" s="31">
        <v>784</v>
      </c>
      <c r="C791" s="32">
        <v>43745</v>
      </c>
      <c r="D791" s="33" t="s">
        <v>156</v>
      </c>
      <c r="E791" s="34" t="s">
        <v>157</v>
      </c>
      <c r="F791" s="31" t="s">
        <v>147</v>
      </c>
      <c r="G791" s="31" t="s">
        <v>141</v>
      </c>
      <c r="H791" s="35">
        <v>1778510</v>
      </c>
    </row>
    <row r="792" spans="2:8" x14ac:dyDescent="0.3">
      <c r="B792" s="31">
        <v>785</v>
      </c>
      <c r="C792" s="32">
        <v>43744</v>
      </c>
      <c r="D792" s="33" t="s">
        <v>167</v>
      </c>
      <c r="E792" s="34" t="s">
        <v>168</v>
      </c>
      <c r="F792" s="31" t="s">
        <v>131</v>
      </c>
      <c r="G792" s="31" t="s">
        <v>136</v>
      </c>
      <c r="H792" s="35">
        <v>1051890</v>
      </c>
    </row>
    <row r="793" spans="2:8" x14ac:dyDescent="0.3">
      <c r="B793" s="31">
        <v>786</v>
      </c>
      <c r="C793" s="32">
        <v>43738</v>
      </c>
      <c r="D793" s="33" t="s">
        <v>148</v>
      </c>
      <c r="E793" s="34" t="s">
        <v>149</v>
      </c>
      <c r="F793" s="31" t="s">
        <v>147</v>
      </c>
      <c r="G793" s="31" t="s">
        <v>141</v>
      </c>
      <c r="H793" s="35">
        <v>1841940</v>
      </c>
    </row>
    <row r="794" spans="2:8" x14ac:dyDescent="0.3">
      <c r="B794" s="31">
        <v>787</v>
      </c>
      <c r="C794" s="32">
        <v>43759</v>
      </c>
      <c r="D794" s="33" t="s">
        <v>133</v>
      </c>
      <c r="E794" s="34" t="s">
        <v>134</v>
      </c>
      <c r="F794" s="31" t="s">
        <v>144</v>
      </c>
      <c r="G794" s="31" t="s">
        <v>125</v>
      </c>
      <c r="H794" s="35">
        <v>1064440</v>
      </c>
    </row>
    <row r="795" spans="2:8" x14ac:dyDescent="0.3">
      <c r="B795" s="31">
        <v>788</v>
      </c>
      <c r="C795" s="32">
        <v>43745</v>
      </c>
      <c r="D795" s="33" t="s">
        <v>165</v>
      </c>
      <c r="E795" s="34" t="s">
        <v>166</v>
      </c>
      <c r="F795" s="31" t="s">
        <v>124</v>
      </c>
      <c r="G795" s="31" t="s">
        <v>158</v>
      </c>
      <c r="H795" s="35">
        <v>1832330</v>
      </c>
    </row>
    <row r="796" spans="2:8" x14ac:dyDescent="0.3">
      <c r="B796" s="31">
        <v>789</v>
      </c>
      <c r="C796" s="32">
        <v>43751</v>
      </c>
      <c r="D796" s="33" t="s">
        <v>163</v>
      </c>
      <c r="E796" s="34" t="s">
        <v>164</v>
      </c>
      <c r="F796" s="31" t="s">
        <v>124</v>
      </c>
      <c r="G796" s="31" t="s">
        <v>141</v>
      </c>
      <c r="H796" s="35">
        <v>1382630</v>
      </c>
    </row>
    <row r="797" spans="2:8" x14ac:dyDescent="0.3">
      <c r="B797" s="31">
        <v>790</v>
      </c>
      <c r="C797" s="32">
        <v>43762</v>
      </c>
      <c r="D797" s="33" t="s">
        <v>163</v>
      </c>
      <c r="E797" s="34" t="s">
        <v>164</v>
      </c>
      <c r="F797" s="31" t="s">
        <v>124</v>
      </c>
      <c r="G797" s="31" t="s">
        <v>136</v>
      </c>
      <c r="H797" s="35">
        <v>1249450</v>
      </c>
    </row>
    <row r="798" spans="2:8" x14ac:dyDescent="0.3">
      <c r="B798" s="31">
        <v>791</v>
      </c>
      <c r="C798" s="32">
        <v>43749</v>
      </c>
      <c r="D798" s="33" t="s">
        <v>159</v>
      </c>
      <c r="E798" s="34" t="s">
        <v>160</v>
      </c>
      <c r="F798" s="31" t="s">
        <v>147</v>
      </c>
      <c r="G798" s="31" t="s">
        <v>128</v>
      </c>
      <c r="H798" s="35">
        <v>1703170</v>
      </c>
    </row>
    <row r="799" spans="2:8" x14ac:dyDescent="0.3">
      <c r="B799" s="31">
        <v>792</v>
      </c>
      <c r="C799" s="32">
        <v>43748</v>
      </c>
      <c r="D799" s="33" t="s">
        <v>126</v>
      </c>
      <c r="E799" s="34" t="s">
        <v>127</v>
      </c>
      <c r="F799" s="31" t="s">
        <v>144</v>
      </c>
      <c r="G799" s="31" t="s">
        <v>158</v>
      </c>
      <c r="H799" s="35">
        <v>1607730</v>
      </c>
    </row>
    <row r="800" spans="2:8" x14ac:dyDescent="0.3">
      <c r="B800" s="31">
        <v>793</v>
      </c>
      <c r="C800" s="32">
        <v>43759</v>
      </c>
      <c r="D800" s="33" t="s">
        <v>142</v>
      </c>
      <c r="E800" s="34" t="s">
        <v>143</v>
      </c>
      <c r="F800" s="31" t="s">
        <v>135</v>
      </c>
      <c r="G800" s="31" t="s">
        <v>158</v>
      </c>
      <c r="H800" s="35">
        <v>1434720</v>
      </c>
    </row>
    <row r="801" spans="2:8" x14ac:dyDescent="0.3">
      <c r="B801" s="31">
        <v>794</v>
      </c>
      <c r="C801" s="32">
        <v>43756</v>
      </c>
      <c r="D801" s="33" t="s">
        <v>126</v>
      </c>
      <c r="E801" s="34" t="s">
        <v>127</v>
      </c>
      <c r="F801" s="31" t="s">
        <v>147</v>
      </c>
      <c r="G801" s="31" t="s">
        <v>132</v>
      </c>
      <c r="H801" s="35">
        <v>1135210</v>
      </c>
    </row>
    <row r="802" spans="2:8" x14ac:dyDescent="0.3">
      <c r="B802" s="31">
        <v>795</v>
      </c>
      <c r="C802" s="32">
        <v>43752</v>
      </c>
      <c r="D802" s="33" t="s">
        <v>156</v>
      </c>
      <c r="E802" s="34" t="s">
        <v>157</v>
      </c>
      <c r="F802" s="31" t="s">
        <v>147</v>
      </c>
      <c r="G802" s="31" t="s">
        <v>128</v>
      </c>
      <c r="H802" s="35">
        <v>1253490</v>
      </c>
    </row>
    <row r="803" spans="2:8" x14ac:dyDescent="0.3">
      <c r="B803" s="31">
        <v>796</v>
      </c>
      <c r="C803" s="32">
        <v>43744</v>
      </c>
      <c r="D803" s="33" t="s">
        <v>167</v>
      </c>
      <c r="E803" s="34" t="s">
        <v>168</v>
      </c>
      <c r="F803" s="31" t="s">
        <v>131</v>
      </c>
      <c r="G803" s="31" t="s">
        <v>132</v>
      </c>
      <c r="H803" s="35">
        <v>1266150</v>
      </c>
    </row>
    <row r="804" spans="2:8" x14ac:dyDescent="0.3">
      <c r="B804" s="31">
        <v>797</v>
      </c>
      <c r="C804" s="32">
        <v>43752</v>
      </c>
      <c r="D804" s="33" t="s">
        <v>148</v>
      </c>
      <c r="E804" s="34" t="s">
        <v>149</v>
      </c>
      <c r="F804" s="31" t="s">
        <v>131</v>
      </c>
      <c r="G804" s="31" t="s">
        <v>158</v>
      </c>
      <c r="H804" s="35">
        <v>1529590</v>
      </c>
    </row>
    <row r="805" spans="2:8" x14ac:dyDescent="0.3">
      <c r="B805" s="31">
        <v>798</v>
      </c>
      <c r="C805" s="32">
        <v>43743</v>
      </c>
      <c r="D805" s="33" t="s">
        <v>165</v>
      </c>
      <c r="E805" s="34" t="s">
        <v>166</v>
      </c>
      <c r="F805" s="31" t="s">
        <v>147</v>
      </c>
      <c r="G805" s="31" t="s">
        <v>158</v>
      </c>
      <c r="H805" s="35">
        <v>1528600</v>
      </c>
    </row>
    <row r="806" spans="2:8" x14ac:dyDescent="0.3">
      <c r="B806" s="31">
        <v>799</v>
      </c>
      <c r="C806" s="32">
        <v>43766</v>
      </c>
      <c r="D806" s="33" t="s">
        <v>137</v>
      </c>
      <c r="E806" s="34" t="s">
        <v>138</v>
      </c>
      <c r="F806" s="31" t="s">
        <v>131</v>
      </c>
      <c r="G806" s="31" t="s">
        <v>136</v>
      </c>
      <c r="H806" s="35">
        <v>1591330</v>
      </c>
    </row>
    <row r="807" spans="2:8" x14ac:dyDescent="0.3">
      <c r="B807" s="31">
        <v>800</v>
      </c>
      <c r="C807" s="32">
        <v>43765</v>
      </c>
      <c r="D807" s="33" t="s">
        <v>152</v>
      </c>
      <c r="E807" s="34" t="s">
        <v>153</v>
      </c>
      <c r="F807" s="31" t="s">
        <v>124</v>
      </c>
      <c r="G807" s="31" t="s">
        <v>128</v>
      </c>
      <c r="H807" s="35">
        <v>1579550</v>
      </c>
    </row>
    <row r="808" spans="2:8" x14ac:dyDescent="0.3">
      <c r="B808" s="31">
        <v>801</v>
      </c>
      <c r="C808" s="32">
        <v>43765</v>
      </c>
      <c r="D808" s="33" t="s">
        <v>152</v>
      </c>
      <c r="E808" s="34" t="s">
        <v>153</v>
      </c>
      <c r="F808" s="31" t="s">
        <v>135</v>
      </c>
      <c r="G808" s="31" t="s">
        <v>136</v>
      </c>
      <c r="H808" s="35">
        <v>1218140</v>
      </c>
    </row>
    <row r="809" spans="2:8" x14ac:dyDescent="0.3">
      <c r="B809" s="31">
        <v>802</v>
      </c>
      <c r="C809" s="32">
        <v>43755</v>
      </c>
      <c r="D809" s="33" t="s">
        <v>139</v>
      </c>
      <c r="E809" s="34" t="s">
        <v>140</v>
      </c>
      <c r="F809" s="31" t="s">
        <v>147</v>
      </c>
      <c r="G809" s="31" t="s">
        <v>125</v>
      </c>
      <c r="H809" s="35">
        <v>1162950</v>
      </c>
    </row>
    <row r="810" spans="2:8" x14ac:dyDescent="0.3">
      <c r="B810" s="31">
        <v>803</v>
      </c>
      <c r="C810" s="32">
        <v>43762</v>
      </c>
      <c r="D810" s="33" t="s">
        <v>161</v>
      </c>
      <c r="E810" s="34" t="s">
        <v>162</v>
      </c>
      <c r="F810" s="31" t="s">
        <v>131</v>
      </c>
      <c r="G810" s="31" t="s">
        <v>136</v>
      </c>
      <c r="H810" s="35">
        <v>1204570</v>
      </c>
    </row>
    <row r="811" spans="2:8" x14ac:dyDescent="0.3">
      <c r="B811" s="31">
        <v>804</v>
      </c>
      <c r="C811" s="32">
        <v>43757</v>
      </c>
      <c r="D811" s="33" t="s">
        <v>165</v>
      </c>
      <c r="E811" s="34" t="s">
        <v>166</v>
      </c>
      <c r="F811" s="31" t="s">
        <v>147</v>
      </c>
      <c r="G811" s="31" t="s">
        <v>128</v>
      </c>
      <c r="H811" s="35">
        <v>1151790</v>
      </c>
    </row>
    <row r="812" spans="2:8" x14ac:dyDescent="0.3">
      <c r="B812" s="31">
        <v>805</v>
      </c>
      <c r="C812" s="32">
        <v>43763</v>
      </c>
      <c r="D812" s="33" t="s">
        <v>137</v>
      </c>
      <c r="E812" s="34" t="s">
        <v>138</v>
      </c>
      <c r="F812" s="31" t="s">
        <v>144</v>
      </c>
      <c r="G812" s="31" t="s">
        <v>128</v>
      </c>
      <c r="H812" s="35">
        <v>1470290</v>
      </c>
    </row>
    <row r="813" spans="2:8" x14ac:dyDescent="0.3">
      <c r="B813" s="31">
        <v>806</v>
      </c>
      <c r="C813" s="32">
        <v>43752</v>
      </c>
      <c r="D813" s="33" t="s">
        <v>165</v>
      </c>
      <c r="E813" s="34" t="s">
        <v>166</v>
      </c>
      <c r="F813" s="31" t="s">
        <v>144</v>
      </c>
      <c r="G813" s="31" t="s">
        <v>132</v>
      </c>
      <c r="H813" s="35">
        <v>1300080</v>
      </c>
    </row>
    <row r="814" spans="2:8" x14ac:dyDescent="0.3">
      <c r="B814" s="31">
        <v>807</v>
      </c>
      <c r="C814" s="32">
        <v>43784</v>
      </c>
      <c r="D814" s="33" t="s">
        <v>129</v>
      </c>
      <c r="E814" s="34" t="s">
        <v>130</v>
      </c>
      <c r="F814" s="31" t="s">
        <v>144</v>
      </c>
      <c r="G814" s="31" t="s">
        <v>128</v>
      </c>
      <c r="H814" s="35">
        <v>1602870</v>
      </c>
    </row>
    <row r="815" spans="2:8" x14ac:dyDescent="0.3">
      <c r="B815" s="31">
        <v>808</v>
      </c>
      <c r="C815" s="32">
        <v>43793</v>
      </c>
      <c r="D815" s="33" t="s">
        <v>159</v>
      </c>
      <c r="E815" s="34" t="s">
        <v>160</v>
      </c>
      <c r="F815" s="31" t="s">
        <v>131</v>
      </c>
      <c r="G815" s="31" t="s">
        <v>141</v>
      </c>
      <c r="H815" s="35">
        <v>2466880</v>
      </c>
    </row>
    <row r="816" spans="2:8" x14ac:dyDescent="0.3">
      <c r="B816" s="31">
        <v>809</v>
      </c>
      <c r="C816" s="32">
        <v>43786</v>
      </c>
      <c r="D816" s="33" t="s">
        <v>161</v>
      </c>
      <c r="E816" s="34" t="s">
        <v>162</v>
      </c>
      <c r="F816" s="31" t="s">
        <v>144</v>
      </c>
      <c r="G816" s="31" t="s">
        <v>158</v>
      </c>
      <c r="H816" s="35">
        <v>1394750</v>
      </c>
    </row>
    <row r="817" spans="2:8" x14ac:dyDescent="0.3">
      <c r="B817" s="31">
        <v>810</v>
      </c>
      <c r="C817" s="32">
        <v>43772</v>
      </c>
      <c r="D817" s="33" t="s">
        <v>152</v>
      </c>
      <c r="E817" s="34" t="s">
        <v>153</v>
      </c>
      <c r="F817" s="31" t="s">
        <v>147</v>
      </c>
      <c r="G817" s="31" t="s">
        <v>128</v>
      </c>
      <c r="H817" s="35">
        <v>1267730</v>
      </c>
    </row>
    <row r="818" spans="2:8" x14ac:dyDescent="0.3">
      <c r="B818" s="31">
        <v>811</v>
      </c>
      <c r="C818" s="32">
        <v>43778</v>
      </c>
      <c r="D818" s="33" t="s">
        <v>137</v>
      </c>
      <c r="E818" s="34" t="s">
        <v>138</v>
      </c>
      <c r="F818" s="31" t="s">
        <v>144</v>
      </c>
      <c r="G818" s="31" t="s">
        <v>125</v>
      </c>
      <c r="H818" s="35">
        <v>1186040</v>
      </c>
    </row>
    <row r="819" spans="2:8" x14ac:dyDescent="0.3">
      <c r="B819" s="31">
        <v>812</v>
      </c>
      <c r="C819" s="32">
        <v>43799</v>
      </c>
      <c r="D819" s="33" t="s">
        <v>163</v>
      </c>
      <c r="E819" s="34" t="s">
        <v>164</v>
      </c>
      <c r="F819" s="31" t="s">
        <v>135</v>
      </c>
      <c r="G819" s="31" t="s">
        <v>141</v>
      </c>
      <c r="H819" s="35">
        <v>1134560</v>
      </c>
    </row>
    <row r="820" spans="2:8" x14ac:dyDescent="0.3">
      <c r="B820" s="31">
        <v>813</v>
      </c>
      <c r="C820" s="32">
        <v>43791</v>
      </c>
      <c r="D820" s="33" t="s">
        <v>137</v>
      </c>
      <c r="E820" s="34" t="s">
        <v>138</v>
      </c>
      <c r="F820" s="31" t="s">
        <v>144</v>
      </c>
      <c r="G820" s="31" t="s">
        <v>125</v>
      </c>
      <c r="H820" s="35">
        <v>1453810</v>
      </c>
    </row>
    <row r="821" spans="2:8" x14ac:dyDescent="0.3">
      <c r="B821" s="31">
        <v>814</v>
      </c>
      <c r="C821" s="32">
        <v>43794</v>
      </c>
      <c r="D821" s="33" t="s">
        <v>167</v>
      </c>
      <c r="E821" s="34" t="s">
        <v>168</v>
      </c>
      <c r="F821" s="31" t="s">
        <v>135</v>
      </c>
      <c r="G821" s="31" t="s">
        <v>158</v>
      </c>
      <c r="H821" s="35">
        <v>1430030</v>
      </c>
    </row>
    <row r="822" spans="2:8" x14ac:dyDescent="0.3">
      <c r="B822" s="31">
        <v>815</v>
      </c>
      <c r="C822" s="32">
        <v>43794</v>
      </c>
      <c r="D822" s="33" t="s">
        <v>150</v>
      </c>
      <c r="E822" s="34" t="s">
        <v>151</v>
      </c>
      <c r="F822" s="31" t="s">
        <v>147</v>
      </c>
      <c r="G822" s="31" t="s">
        <v>136</v>
      </c>
      <c r="H822" s="35">
        <v>1430030</v>
      </c>
    </row>
    <row r="823" spans="2:8" x14ac:dyDescent="0.3">
      <c r="B823" s="31">
        <v>816</v>
      </c>
      <c r="C823" s="32">
        <v>43799</v>
      </c>
      <c r="D823" s="33" t="s">
        <v>148</v>
      </c>
      <c r="E823" s="34" t="s">
        <v>149</v>
      </c>
      <c r="F823" s="31" t="s">
        <v>147</v>
      </c>
      <c r="G823" s="31" t="s">
        <v>128</v>
      </c>
      <c r="H823" s="35">
        <v>1431020</v>
      </c>
    </row>
    <row r="824" spans="2:8" x14ac:dyDescent="0.3">
      <c r="B824" s="31">
        <v>817</v>
      </c>
      <c r="C824" s="32">
        <v>43793</v>
      </c>
      <c r="D824" s="33" t="s">
        <v>150</v>
      </c>
      <c r="E824" s="34" t="s">
        <v>151</v>
      </c>
      <c r="F824" s="31" t="s">
        <v>131</v>
      </c>
      <c r="G824" s="31" t="s">
        <v>158</v>
      </c>
      <c r="H824" s="35">
        <v>1496000</v>
      </c>
    </row>
    <row r="825" spans="2:8" x14ac:dyDescent="0.3">
      <c r="B825" s="31">
        <v>818</v>
      </c>
      <c r="C825" s="32">
        <v>43779</v>
      </c>
      <c r="D825" s="33" t="s">
        <v>129</v>
      </c>
      <c r="E825" s="34" t="s">
        <v>130</v>
      </c>
      <c r="F825" s="31" t="s">
        <v>144</v>
      </c>
      <c r="G825" s="31" t="s">
        <v>136</v>
      </c>
      <c r="H825" s="35">
        <v>1666030</v>
      </c>
    </row>
    <row r="826" spans="2:8" x14ac:dyDescent="0.3">
      <c r="B826" s="31">
        <v>819</v>
      </c>
      <c r="C826" s="32">
        <v>43771</v>
      </c>
      <c r="D826" s="33" t="s">
        <v>139</v>
      </c>
      <c r="E826" s="34" t="s">
        <v>140</v>
      </c>
      <c r="F826" s="31" t="s">
        <v>124</v>
      </c>
      <c r="G826" s="31" t="s">
        <v>158</v>
      </c>
      <c r="H826" s="35">
        <v>1475780</v>
      </c>
    </row>
    <row r="827" spans="2:8" x14ac:dyDescent="0.3">
      <c r="B827" s="31">
        <v>820</v>
      </c>
      <c r="C827" s="32">
        <v>43790</v>
      </c>
      <c r="D827" s="33" t="s">
        <v>159</v>
      </c>
      <c r="E827" s="34" t="s">
        <v>160</v>
      </c>
      <c r="F827" s="31" t="s">
        <v>135</v>
      </c>
      <c r="G827" s="31" t="s">
        <v>132</v>
      </c>
      <c r="H827" s="35">
        <v>1434770</v>
      </c>
    </row>
    <row r="828" spans="2:8" x14ac:dyDescent="0.3">
      <c r="B828" s="31">
        <v>821</v>
      </c>
      <c r="C828" s="32">
        <v>43785</v>
      </c>
      <c r="D828" s="33" t="s">
        <v>154</v>
      </c>
      <c r="E828" s="34" t="s">
        <v>155</v>
      </c>
      <c r="F828" s="31" t="s">
        <v>135</v>
      </c>
      <c r="G828" s="31" t="s">
        <v>132</v>
      </c>
      <c r="H828" s="35">
        <v>1434770</v>
      </c>
    </row>
    <row r="829" spans="2:8" x14ac:dyDescent="0.3">
      <c r="B829" s="31">
        <v>822</v>
      </c>
      <c r="C829" s="32">
        <v>43776</v>
      </c>
      <c r="D829" s="33" t="s">
        <v>167</v>
      </c>
      <c r="E829" s="34" t="s">
        <v>168</v>
      </c>
      <c r="F829" s="31" t="s">
        <v>131</v>
      </c>
      <c r="G829" s="31" t="s">
        <v>128</v>
      </c>
      <c r="H829" s="35">
        <v>1434770</v>
      </c>
    </row>
    <row r="830" spans="2:8" x14ac:dyDescent="0.3">
      <c r="B830" s="31">
        <v>823</v>
      </c>
      <c r="C830" s="32">
        <v>43798</v>
      </c>
      <c r="D830" s="33" t="s">
        <v>129</v>
      </c>
      <c r="E830" s="34" t="s">
        <v>130</v>
      </c>
      <c r="F830" s="31" t="s">
        <v>147</v>
      </c>
      <c r="G830" s="31" t="s">
        <v>141</v>
      </c>
      <c r="H830" s="35">
        <v>1185610</v>
      </c>
    </row>
    <row r="831" spans="2:8" x14ac:dyDescent="0.3">
      <c r="B831" s="31">
        <v>824</v>
      </c>
      <c r="C831" s="32">
        <v>43780</v>
      </c>
      <c r="D831" s="33" t="s">
        <v>152</v>
      </c>
      <c r="E831" s="34" t="s">
        <v>153</v>
      </c>
      <c r="F831" s="31" t="s">
        <v>147</v>
      </c>
      <c r="G831" s="31" t="s">
        <v>128</v>
      </c>
      <c r="H831" s="35">
        <v>1130940</v>
      </c>
    </row>
    <row r="832" spans="2:8" x14ac:dyDescent="0.3">
      <c r="B832" s="31">
        <v>825</v>
      </c>
      <c r="C832" s="32">
        <v>43777</v>
      </c>
      <c r="D832" s="33" t="s">
        <v>148</v>
      </c>
      <c r="E832" s="34" t="s">
        <v>149</v>
      </c>
      <c r="F832" s="31" t="s">
        <v>135</v>
      </c>
      <c r="G832" s="31" t="s">
        <v>141</v>
      </c>
      <c r="H832" s="35">
        <v>1809870</v>
      </c>
    </row>
    <row r="833" spans="2:8" x14ac:dyDescent="0.3">
      <c r="B833" s="31">
        <v>826</v>
      </c>
      <c r="C833" s="32">
        <v>43777</v>
      </c>
      <c r="D833" s="33" t="s">
        <v>139</v>
      </c>
      <c r="E833" s="34" t="s">
        <v>140</v>
      </c>
      <c r="F833" s="31" t="s">
        <v>147</v>
      </c>
      <c r="G833" s="31" t="s">
        <v>132</v>
      </c>
      <c r="H833" s="35">
        <v>1272770</v>
      </c>
    </row>
    <row r="834" spans="2:8" x14ac:dyDescent="0.3">
      <c r="B834" s="31">
        <v>827</v>
      </c>
      <c r="C834" s="32">
        <v>43779</v>
      </c>
      <c r="D834" s="33" t="s">
        <v>129</v>
      </c>
      <c r="E834" s="34" t="s">
        <v>130</v>
      </c>
      <c r="F834" s="31" t="s">
        <v>135</v>
      </c>
      <c r="G834" s="31" t="s">
        <v>128</v>
      </c>
      <c r="H834" s="35">
        <v>1366630</v>
      </c>
    </row>
    <row r="835" spans="2:8" x14ac:dyDescent="0.3">
      <c r="B835" s="31">
        <v>828</v>
      </c>
      <c r="C835" s="32">
        <v>43771</v>
      </c>
      <c r="D835" s="33" t="s">
        <v>156</v>
      </c>
      <c r="E835" s="34" t="s">
        <v>157</v>
      </c>
      <c r="F835" s="31" t="s">
        <v>135</v>
      </c>
      <c r="G835" s="31" t="s">
        <v>158</v>
      </c>
      <c r="H835" s="35">
        <v>1004430</v>
      </c>
    </row>
    <row r="836" spans="2:8" x14ac:dyDescent="0.3">
      <c r="B836" s="31">
        <v>829</v>
      </c>
      <c r="C836" s="32">
        <v>43787</v>
      </c>
      <c r="D836" s="33" t="s">
        <v>129</v>
      </c>
      <c r="E836" s="34" t="s">
        <v>130</v>
      </c>
      <c r="F836" s="31" t="s">
        <v>124</v>
      </c>
      <c r="G836" s="31" t="s">
        <v>128</v>
      </c>
      <c r="H836" s="35">
        <v>1511890</v>
      </c>
    </row>
    <row r="837" spans="2:8" x14ac:dyDescent="0.3">
      <c r="B837" s="31">
        <v>830</v>
      </c>
      <c r="C837" s="32">
        <v>43792</v>
      </c>
      <c r="D837" s="33" t="s">
        <v>137</v>
      </c>
      <c r="E837" s="34" t="s">
        <v>138</v>
      </c>
      <c r="F837" s="31" t="s">
        <v>124</v>
      </c>
      <c r="G837" s="31" t="s">
        <v>132</v>
      </c>
      <c r="H837" s="35">
        <v>1333000</v>
      </c>
    </row>
    <row r="838" spans="2:8" x14ac:dyDescent="0.3">
      <c r="B838" s="31">
        <v>831</v>
      </c>
      <c r="C838" s="32">
        <v>43783</v>
      </c>
      <c r="D838" s="33" t="s">
        <v>167</v>
      </c>
      <c r="E838" s="34" t="s">
        <v>168</v>
      </c>
      <c r="F838" s="31" t="s">
        <v>135</v>
      </c>
      <c r="G838" s="31" t="s">
        <v>158</v>
      </c>
      <c r="H838" s="35">
        <v>1211790</v>
      </c>
    </row>
    <row r="839" spans="2:8" x14ac:dyDescent="0.3">
      <c r="B839" s="31">
        <v>832</v>
      </c>
      <c r="C839" s="32">
        <v>43787</v>
      </c>
      <c r="D839" s="33" t="s">
        <v>148</v>
      </c>
      <c r="E839" s="34" t="s">
        <v>149</v>
      </c>
      <c r="F839" s="31" t="s">
        <v>147</v>
      </c>
      <c r="G839" s="31" t="s">
        <v>128</v>
      </c>
      <c r="H839" s="35">
        <v>1211790</v>
      </c>
    </row>
    <row r="840" spans="2:8" x14ac:dyDescent="0.3">
      <c r="B840" s="31">
        <v>833</v>
      </c>
      <c r="C840" s="32">
        <v>43797</v>
      </c>
      <c r="D840" s="33" t="s">
        <v>142</v>
      </c>
      <c r="E840" s="34" t="s">
        <v>143</v>
      </c>
      <c r="F840" s="31" t="s">
        <v>144</v>
      </c>
      <c r="G840" s="31" t="s">
        <v>136</v>
      </c>
      <c r="H840" s="35">
        <v>1623740</v>
      </c>
    </row>
    <row r="841" spans="2:8" x14ac:dyDescent="0.3">
      <c r="B841" s="31">
        <v>834</v>
      </c>
      <c r="C841" s="32">
        <v>43791</v>
      </c>
      <c r="D841" s="33" t="s">
        <v>159</v>
      </c>
      <c r="E841" s="34" t="s">
        <v>160</v>
      </c>
      <c r="F841" s="31" t="s">
        <v>124</v>
      </c>
      <c r="G841" s="31" t="s">
        <v>141</v>
      </c>
      <c r="H841" s="35">
        <v>1623740</v>
      </c>
    </row>
    <row r="842" spans="2:8" x14ac:dyDescent="0.3">
      <c r="B842" s="31">
        <v>835</v>
      </c>
      <c r="C842" s="32">
        <v>43787</v>
      </c>
      <c r="D842" s="33" t="s">
        <v>126</v>
      </c>
      <c r="E842" s="34" t="s">
        <v>127</v>
      </c>
      <c r="F842" s="31" t="s">
        <v>124</v>
      </c>
      <c r="G842" s="31" t="s">
        <v>158</v>
      </c>
      <c r="H842" s="35">
        <v>1514860</v>
      </c>
    </row>
    <row r="843" spans="2:8" x14ac:dyDescent="0.3">
      <c r="B843" s="31">
        <v>836</v>
      </c>
      <c r="C843" s="32">
        <v>43772</v>
      </c>
      <c r="D843" s="33" t="s">
        <v>161</v>
      </c>
      <c r="E843" s="34" t="s">
        <v>162</v>
      </c>
      <c r="F843" s="31" t="s">
        <v>144</v>
      </c>
      <c r="G843" s="31" t="s">
        <v>132</v>
      </c>
      <c r="H843" s="35">
        <v>1486940</v>
      </c>
    </row>
    <row r="844" spans="2:8" x14ac:dyDescent="0.3">
      <c r="B844" s="31">
        <v>837</v>
      </c>
      <c r="C844" s="32">
        <v>43772</v>
      </c>
      <c r="D844" s="33" t="s">
        <v>148</v>
      </c>
      <c r="E844" s="34" t="s">
        <v>149</v>
      </c>
      <c r="F844" s="31" t="s">
        <v>135</v>
      </c>
      <c r="G844" s="31" t="s">
        <v>141</v>
      </c>
      <c r="H844" s="35">
        <v>1263930</v>
      </c>
    </row>
    <row r="845" spans="2:8" x14ac:dyDescent="0.3">
      <c r="B845" s="31">
        <v>838</v>
      </c>
      <c r="C845" s="32">
        <v>43792</v>
      </c>
      <c r="D845" s="33" t="s">
        <v>139</v>
      </c>
      <c r="E845" s="34" t="s">
        <v>140</v>
      </c>
      <c r="F845" s="31" t="s">
        <v>124</v>
      </c>
      <c r="G845" s="31" t="s">
        <v>132</v>
      </c>
      <c r="H845" s="35">
        <v>1419720</v>
      </c>
    </row>
    <row r="846" spans="2:8" x14ac:dyDescent="0.3">
      <c r="B846" s="31">
        <v>839</v>
      </c>
      <c r="C846" s="32">
        <v>43792</v>
      </c>
      <c r="D846" s="33" t="s">
        <v>126</v>
      </c>
      <c r="E846" s="34" t="s">
        <v>127</v>
      </c>
      <c r="F846" s="31" t="s">
        <v>147</v>
      </c>
      <c r="G846" s="31" t="s">
        <v>125</v>
      </c>
      <c r="H846" s="35">
        <v>1204950</v>
      </c>
    </row>
    <row r="847" spans="2:8" x14ac:dyDescent="0.3">
      <c r="B847" s="31">
        <v>840</v>
      </c>
      <c r="C847" s="32">
        <v>43787</v>
      </c>
      <c r="D847" s="33" t="s">
        <v>145</v>
      </c>
      <c r="E847" s="34" t="s">
        <v>146</v>
      </c>
      <c r="F847" s="31" t="s">
        <v>144</v>
      </c>
      <c r="G847" s="31" t="s">
        <v>141</v>
      </c>
      <c r="H847" s="35">
        <v>1001890</v>
      </c>
    </row>
    <row r="848" spans="2:8" x14ac:dyDescent="0.3">
      <c r="B848" s="31">
        <v>841</v>
      </c>
      <c r="C848" s="32">
        <v>43773</v>
      </c>
      <c r="D848" s="33" t="s">
        <v>163</v>
      </c>
      <c r="E848" s="34" t="s">
        <v>164</v>
      </c>
      <c r="F848" s="31" t="s">
        <v>131</v>
      </c>
      <c r="G848" s="31" t="s">
        <v>141</v>
      </c>
      <c r="H848" s="35">
        <v>1921580</v>
      </c>
    </row>
    <row r="849" spans="2:8" x14ac:dyDescent="0.3">
      <c r="B849" s="31">
        <v>842</v>
      </c>
      <c r="C849" s="32">
        <v>43772</v>
      </c>
      <c r="D849" s="33" t="s">
        <v>145</v>
      </c>
      <c r="E849" s="34" t="s">
        <v>146</v>
      </c>
      <c r="F849" s="31" t="s">
        <v>135</v>
      </c>
      <c r="G849" s="31" t="s">
        <v>132</v>
      </c>
      <c r="H849" s="35">
        <v>1267860</v>
      </c>
    </row>
    <row r="850" spans="2:8" x14ac:dyDescent="0.3">
      <c r="B850" s="31">
        <v>843</v>
      </c>
      <c r="C850" s="32">
        <v>43783</v>
      </c>
      <c r="D850" s="33" t="s">
        <v>161</v>
      </c>
      <c r="E850" s="34" t="s">
        <v>162</v>
      </c>
      <c r="F850" s="31" t="s">
        <v>147</v>
      </c>
      <c r="G850" s="31" t="s">
        <v>136</v>
      </c>
      <c r="H850" s="35">
        <v>1177790</v>
      </c>
    </row>
    <row r="851" spans="2:8" x14ac:dyDescent="0.3">
      <c r="B851" s="31">
        <v>844</v>
      </c>
      <c r="C851" s="32">
        <v>43790</v>
      </c>
      <c r="D851" s="33" t="s">
        <v>139</v>
      </c>
      <c r="E851" s="34" t="s">
        <v>140</v>
      </c>
      <c r="F851" s="31" t="s">
        <v>124</v>
      </c>
      <c r="G851" s="31" t="s">
        <v>141</v>
      </c>
      <c r="H851" s="35">
        <v>1137880</v>
      </c>
    </row>
    <row r="852" spans="2:8" x14ac:dyDescent="0.3">
      <c r="B852" s="31">
        <v>845</v>
      </c>
      <c r="C852" s="32">
        <v>43784</v>
      </c>
      <c r="D852" s="33" t="s">
        <v>150</v>
      </c>
      <c r="E852" s="34" t="s">
        <v>151</v>
      </c>
      <c r="F852" s="31" t="s">
        <v>135</v>
      </c>
      <c r="G852" s="31" t="s">
        <v>158</v>
      </c>
      <c r="H852" s="35">
        <v>1137880</v>
      </c>
    </row>
    <row r="853" spans="2:8" x14ac:dyDescent="0.3">
      <c r="B853" s="31">
        <v>846</v>
      </c>
      <c r="C853" s="32">
        <v>43785</v>
      </c>
      <c r="D853" s="33" t="s">
        <v>142</v>
      </c>
      <c r="E853" s="34" t="s">
        <v>143</v>
      </c>
      <c r="F853" s="31" t="s">
        <v>147</v>
      </c>
      <c r="G853" s="31" t="s">
        <v>125</v>
      </c>
      <c r="H853" s="35">
        <v>1137880</v>
      </c>
    </row>
    <row r="854" spans="2:8" x14ac:dyDescent="0.3">
      <c r="B854" s="31">
        <v>847</v>
      </c>
      <c r="C854" s="32">
        <v>43773</v>
      </c>
      <c r="D854" s="33" t="s">
        <v>159</v>
      </c>
      <c r="E854" s="34" t="s">
        <v>160</v>
      </c>
      <c r="F854" s="31" t="s">
        <v>144</v>
      </c>
      <c r="G854" s="31" t="s">
        <v>128</v>
      </c>
      <c r="H854" s="35">
        <v>1694700</v>
      </c>
    </row>
    <row r="855" spans="2:8" x14ac:dyDescent="0.3">
      <c r="B855" s="31">
        <v>848</v>
      </c>
      <c r="C855" s="32">
        <v>43778</v>
      </c>
      <c r="D855" s="33" t="s">
        <v>129</v>
      </c>
      <c r="E855" s="34" t="s">
        <v>130</v>
      </c>
      <c r="F855" s="31" t="s">
        <v>124</v>
      </c>
      <c r="G855" s="31" t="s">
        <v>128</v>
      </c>
      <c r="H855" s="35">
        <v>1390220</v>
      </c>
    </row>
    <row r="856" spans="2:8" x14ac:dyDescent="0.3">
      <c r="B856" s="31">
        <v>849</v>
      </c>
      <c r="C856" s="32">
        <v>43786</v>
      </c>
      <c r="D856" s="33" t="s">
        <v>156</v>
      </c>
      <c r="E856" s="34" t="s">
        <v>157</v>
      </c>
      <c r="F856" s="31" t="s">
        <v>131</v>
      </c>
      <c r="G856" s="31" t="s">
        <v>158</v>
      </c>
      <c r="H856" s="35">
        <v>1390220</v>
      </c>
    </row>
    <row r="857" spans="2:8" x14ac:dyDescent="0.3">
      <c r="B857" s="31">
        <v>850</v>
      </c>
      <c r="C857" s="32">
        <v>43793</v>
      </c>
      <c r="D857" s="33" t="s">
        <v>165</v>
      </c>
      <c r="E857" s="34" t="s">
        <v>166</v>
      </c>
      <c r="F857" s="31" t="s">
        <v>124</v>
      </c>
      <c r="G857" s="31" t="s">
        <v>125</v>
      </c>
      <c r="H857" s="35">
        <v>1100450</v>
      </c>
    </row>
    <row r="858" spans="2:8" x14ac:dyDescent="0.3">
      <c r="B858" s="31">
        <v>851</v>
      </c>
      <c r="C858" s="32">
        <v>43777</v>
      </c>
      <c r="D858" s="33" t="s">
        <v>156</v>
      </c>
      <c r="E858" s="34" t="s">
        <v>157</v>
      </c>
      <c r="F858" s="31" t="s">
        <v>144</v>
      </c>
      <c r="G858" s="31" t="s">
        <v>125</v>
      </c>
      <c r="H858" s="35">
        <v>1093060</v>
      </c>
    </row>
    <row r="859" spans="2:8" x14ac:dyDescent="0.3">
      <c r="B859" s="31">
        <v>852</v>
      </c>
      <c r="C859" s="32">
        <v>43791</v>
      </c>
      <c r="D859" s="33" t="s">
        <v>154</v>
      </c>
      <c r="E859" s="34" t="s">
        <v>155</v>
      </c>
      <c r="F859" s="31" t="s">
        <v>135</v>
      </c>
      <c r="G859" s="31" t="s">
        <v>128</v>
      </c>
      <c r="H859" s="35">
        <v>1463200</v>
      </c>
    </row>
    <row r="860" spans="2:8" x14ac:dyDescent="0.3">
      <c r="B860" s="31">
        <v>853</v>
      </c>
      <c r="C860" s="32">
        <v>43786</v>
      </c>
      <c r="D860" s="33" t="s">
        <v>165</v>
      </c>
      <c r="E860" s="34" t="s">
        <v>166</v>
      </c>
      <c r="F860" s="31" t="s">
        <v>144</v>
      </c>
      <c r="G860" s="31" t="s">
        <v>125</v>
      </c>
      <c r="H860" s="35">
        <v>1261060</v>
      </c>
    </row>
    <row r="861" spans="2:8" x14ac:dyDescent="0.3">
      <c r="B861" s="31">
        <v>854</v>
      </c>
      <c r="C861" s="32">
        <v>43787</v>
      </c>
      <c r="D861" s="33" t="s">
        <v>133</v>
      </c>
      <c r="E861" s="34" t="s">
        <v>134</v>
      </c>
      <c r="F861" s="31" t="s">
        <v>135</v>
      </c>
      <c r="G861" s="31" t="s">
        <v>125</v>
      </c>
      <c r="H861" s="35">
        <v>1178270</v>
      </c>
    </row>
    <row r="862" spans="2:8" x14ac:dyDescent="0.3">
      <c r="B862" s="31">
        <v>855</v>
      </c>
      <c r="C862" s="32">
        <v>43777</v>
      </c>
      <c r="D862" s="33" t="s">
        <v>129</v>
      </c>
      <c r="E862" s="34" t="s">
        <v>130</v>
      </c>
      <c r="F862" s="31" t="s">
        <v>135</v>
      </c>
      <c r="G862" s="31" t="s">
        <v>158</v>
      </c>
      <c r="H862" s="35">
        <v>1178270</v>
      </c>
    </row>
    <row r="863" spans="2:8" x14ac:dyDescent="0.3">
      <c r="B863" s="31">
        <v>856</v>
      </c>
      <c r="C863" s="32">
        <v>43779</v>
      </c>
      <c r="D863" s="33" t="s">
        <v>133</v>
      </c>
      <c r="E863" s="34" t="s">
        <v>134</v>
      </c>
      <c r="F863" s="31" t="s">
        <v>131</v>
      </c>
      <c r="G863" s="31" t="s">
        <v>141</v>
      </c>
      <c r="H863" s="35">
        <v>1178270</v>
      </c>
    </row>
    <row r="864" spans="2:8" x14ac:dyDescent="0.3">
      <c r="B864" s="31">
        <v>857</v>
      </c>
      <c r="C864" s="32">
        <v>43770</v>
      </c>
      <c r="D864" s="33" t="s">
        <v>161</v>
      </c>
      <c r="E864" s="34" t="s">
        <v>162</v>
      </c>
      <c r="F864" s="31" t="s">
        <v>144</v>
      </c>
      <c r="G864" s="31" t="s">
        <v>158</v>
      </c>
      <c r="H864" s="35">
        <v>1178270</v>
      </c>
    </row>
    <row r="865" spans="2:8" x14ac:dyDescent="0.3">
      <c r="B865" s="31">
        <v>858</v>
      </c>
      <c r="C865" s="32">
        <v>43792</v>
      </c>
      <c r="D865" s="33" t="s">
        <v>139</v>
      </c>
      <c r="E865" s="34" t="s">
        <v>140</v>
      </c>
      <c r="F865" s="31" t="s">
        <v>124</v>
      </c>
      <c r="G865" s="31" t="s">
        <v>132</v>
      </c>
      <c r="H865" s="35">
        <v>1585730</v>
      </c>
    </row>
    <row r="866" spans="2:8" x14ac:dyDescent="0.3">
      <c r="B866" s="31">
        <v>859</v>
      </c>
      <c r="C866" s="32">
        <v>43794</v>
      </c>
      <c r="D866" s="33" t="s">
        <v>148</v>
      </c>
      <c r="E866" s="34" t="s">
        <v>149</v>
      </c>
      <c r="F866" s="31" t="s">
        <v>144</v>
      </c>
      <c r="G866" s="31" t="s">
        <v>141</v>
      </c>
      <c r="H866" s="35">
        <v>1585730</v>
      </c>
    </row>
    <row r="867" spans="2:8" x14ac:dyDescent="0.3">
      <c r="B867" s="31">
        <v>860</v>
      </c>
      <c r="C867" s="32">
        <v>43792</v>
      </c>
      <c r="D867" s="33" t="s">
        <v>137</v>
      </c>
      <c r="E867" s="34" t="s">
        <v>138</v>
      </c>
      <c r="F867" s="31" t="s">
        <v>144</v>
      </c>
      <c r="G867" s="31" t="s">
        <v>136</v>
      </c>
      <c r="H867" s="35">
        <v>1605220</v>
      </c>
    </row>
    <row r="868" spans="2:8" x14ac:dyDescent="0.3">
      <c r="B868" s="31">
        <v>861</v>
      </c>
      <c r="C868" s="32">
        <v>43786</v>
      </c>
      <c r="D868" s="33" t="s">
        <v>163</v>
      </c>
      <c r="E868" s="34" t="s">
        <v>164</v>
      </c>
      <c r="F868" s="31" t="s">
        <v>147</v>
      </c>
      <c r="G868" s="31" t="s">
        <v>125</v>
      </c>
      <c r="H868" s="35">
        <v>1799560</v>
      </c>
    </row>
    <row r="869" spans="2:8" x14ac:dyDescent="0.3">
      <c r="B869" s="31">
        <v>862</v>
      </c>
      <c r="C869" s="32">
        <v>43799</v>
      </c>
      <c r="D869" s="33" t="s">
        <v>145</v>
      </c>
      <c r="E869" s="34" t="s">
        <v>146</v>
      </c>
      <c r="F869" s="31" t="s">
        <v>124</v>
      </c>
      <c r="G869" s="31" t="s">
        <v>125</v>
      </c>
      <c r="H869" s="35">
        <v>417940</v>
      </c>
    </row>
    <row r="870" spans="2:8" x14ac:dyDescent="0.3">
      <c r="B870" s="31">
        <v>863</v>
      </c>
      <c r="C870" s="32">
        <v>43793</v>
      </c>
      <c r="D870" s="33" t="s">
        <v>152</v>
      </c>
      <c r="E870" s="34" t="s">
        <v>153</v>
      </c>
      <c r="F870" s="31" t="s">
        <v>147</v>
      </c>
      <c r="G870" s="31" t="s">
        <v>132</v>
      </c>
      <c r="H870" s="35">
        <v>1602950</v>
      </c>
    </row>
    <row r="871" spans="2:8" x14ac:dyDescent="0.3">
      <c r="B871" s="31">
        <v>864</v>
      </c>
      <c r="C871" s="32">
        <v>43776</v>
      </c>
      <c r="D871" s="33" t="s">
        <v>152</v>
      </c>
      <c r="E871" s="34" t="s">
        <v>153</v>
      </c>
      <c r="F871" s="31" t="s">
        <v>144</v>
      </c>
      <c r="G871" s="31" t="s">
        <v>128</v>
      </c>
      <c r="H871" s="35">
        <v>1699060</v>
      </c>
    </row>
    <row r="872" spans="2:8" x14ac:dyDescent="0.3">
      <c r="B872" s="31">
        <v>865</v>
      </c>
      <c r="C872" s="32">
        <v>43787</v>
      </c>
      <c r="D872" s="33" t="s">
        <v>156</v>
      </c>
      <c r="E872" s="34" t="s">
        <v>157</v>
      </c>
      <c r="F872" s="31" t="s">
        <v>147</v>
      </c>
      <c r="G872" s="31" t="s">
        <v>158</v>
      </c>
      <c r="H872" s="35">
        <v>1060090</v>
      </c>
    </row>
    <row r="873" spans="2:8" x14ac:dyDescent="0.3">
      <c r="B873" s="31">
        <v>866</v>
      </c>
      <c r="C873" s="32">
        <v>43785</v>
      </c>
      <c r="D873" s="33" t="s">
        <v>167</v>
      </c>
      <c r="E873" s="34" t="s">
        <v>168</v>
      </c>
      <c r="F873" s="31" t="s">
        <v>144</v>
      </c>
      <c r="G873" s="31" t="s">
        <v>125</v>
      </c>
      <c r="H873" s="35">
        <v>1513970</v>
      </c>
    </row>
    <row r="874" spans="2:8" x14ac:dyDescent="0.3">
      <c r="B874" s="31">
        <v>867</v>
      </c>
      <c r="C874" s="32">
        <v>43793</v>
      </c>
      <c r="D874" s="33" t="s">
        <v>148</v>
      </c>
      <c r="E874" s="34" t="s">
        <v>149</v>
      </c>
      <c r="F874" s="31" t="s">
        <v>147</v>
      </c>
      <c r="G874" s="31" t="s">
        <v>141</v>
      </c>
      <c r="H874" s="35">
        <v>1566240</v>
      </c>
    </row>
    <row r="875" spans="2:8" x14ac:dyDescent="0.3">
      <c r="B875" s="31">
        <v>868</v>
      </c>
      <c r="C875" s="32">
        <v>43776</v>
      </c>
      <c r="D875" s="33" t="s">
        <v>152</v>
      </c>
      <c r="E875" s="34" t="s">
        <v>153</v>
      </c>
      <c r="F875" s="31" t="s">
        <v>135</v>
      </c>
      <c r="G875" s="31" t="s">
        <v>136</v>
      </c>
      <c r="H875" s="35">
        <v>1477620</v>
      </c>
    </row>
    <row r="876" spans="2:8" x14ac:dyDescent="0.3">
      <c r="B876" s="31">
        <v>869</v>
      </c>
      <c r="C876" s="32">
        <v>43776</v>
      </c>
      <c r="D876" s="33" t="s">
        <v>159</v>
      </c>
      <c r="E876" s="34" t="s">
        <v>160</v>
      </c>
      <c r="F876" s="31" t="s">
        <v>147</v>
      </c>
      <c r="G876" s="31" t="s">
        <v>141</v>
      </c>
      <c r="H876" s="35">
        <v>1647870</v>
      </c>
    </row>
    <row r="877" spans="2:8" x14ac:dyDescent="0.3">
      <c r="B877" s="31">
        <v>870</v>
      </c>
      <c r="C877" s="32">
        <v>43772</v>
      </c>
      <c r="D877" s="33" t="s">
        <v>122</v>
      </c>
      <c r="E877" s="34" t="s">
        <v>123</v>
      </c>
      <c r="F877" s="31" t="s">
        <v>147</v>
      </c>
      <c r="G877" s="31" t="s">
        <v>125</v>
      </c>
      <c r="H877" s="35">
        <v>1738430</v>
      </c>
    </row>
    <row r="878" spans="2:8" x14ac:dyDescent="0.3">
      <c r="B878" s="31">
        <v>871</v>
      </c>
      <c r="C878" s="32">
        <v>43793</v>
      </c>
      <c r="D878" s="33" t="s">
        <v>163</v>
      </c>
      <c r="E878" s="34" t="s">
        <v>164</v>
      </c>
      <c r="F878" s="31" t="s">
        <v>147</v>
      </c>
      <c r="G878" s="31" t="s">
        <v>128</v>
      </c>
      <c r="H878" s="35">
        <v>1400760</v>
      </c>
    </row>
    <row r="879" spans="2:8" x14ac:dyDescent="0.3">
      <c r="B879" s="31">
        <v>872</v>
      </c>
      <c r="C879" s="32">
        <v>43783</v>
      </c>
      <c r="D879" s="33" t="s">
        <v>154</v>
      </c>
      <c r="E879" s="34" t="s">
        <v>155</v>
      </c>
      <c r="F879" s="31" t="s">
        <v>124</v>
      </c>
      <c r="G879" s="31" t="s">
        <v>136</v>
      </c>
      <c r="H879" s="35">
        <v>1402340</v>
      </c>
    </row>
    <row r="880" spans="2:8" x14ac:dyDescent="0.3">
      <c r="B880" s="31">
        <v>873</v>
      </c>
      <c r="C880" s="32">
        <v>43778</v>
      </c>
      <c r="D880" s="33" t="s">
        <v>167</v>
      </c>
      <c r="E880" s="34" t="s">
        <v>168</v>
      </c>
      <c r="F880" s="31" t="s">
        <v>131</v>
      </c>
      <c r="G880" s="31" t="s">
        <v>125</v>
      </c>
      <c r="H880" s="35">
        <v>1378230</v>
      </c>
    </row>
    <row r="881" spans="2:8" x14ac:dyDescent="0.3">
      <c r="B881" s="31">
        <v>874</v>
      </c>
      <c r="C881" s="32">
        <v>43777</v>
      </c>
      <c r="D881" s="33" t="s">
        <v>139</v>
      </c>
      <c r="E881" s="34" t="s">
        <v>140</v>
      </c>
      <c r="F881" s="31" t="s">
        <v>131</v>
      </c>
      <c r="G881" s="31" t="s">
        <v>125</v>
      </c>
      <c r="H881" s="35">
        <v>1377330</v>
      </c>
    </row>
    <row r="882" spans="2:8" x14ac:dyDescent="0.3">
      <c r="B882" s="31">
        <v>875</v>
      </c>
      <c r="C882" s="32">
        <v>43772</v>
      </c>
      <c r="D882" s="33" t="s">
        <v>161</v>
      </c>
      <c r="E882" s="34" t="s">
        <v>162</v>
      </c>
      <c r="F882" s="31" t="s">
        <v>124</v>
      </c>
      <c r="G882" s="31" t="s">
        <v>158</v>
      </c>
      <c r="H882" s="35">
        <v>1211730</v>
      </c>
    </row>
    <row r="883" spans="2:8" x14ac:dyDescent="0.3">
      <c r="B883" s="31">
        <v>876</v>
      </c>
      <c r="C883" s="32">
        <v>43777</v>
      </c>
      <c r="D883" s="33" t="s">
        <v>161</v>
      </c>
      <c r="E883" s="34" t="s">
        <v>162</v>
      </c>
      <c r="F883" s="31" t="s">
        <v>144</v>
      </c>
      <c r="G883" s="31" t="s">
        <v>141</v>
      </c>
      <c r="H883" s="35">
        <v>1358160</v>
      </c>
    </row>
    <row r="884" spans="2:8" x14ac:dyDescent="0.3">
      <c r="B884" s="31">
        <v>877</v>
      </c>
      <c r="C884" s="32">
        <v>43770</v>
      </c>
      <c r="D884" s="33" t="s">
        <v>154</v>
      </c>
      <c r="E884" s="34" t="s">
        <v>155</v>
      </c>
      <c r="F884" s="31" t="s">
        <v>135</v>
      </c>
      <c r="G884" s="31" t="s">
        <v>136</v>
      </c>
      <c r="H884" s="35">
        <v>1358160</v>
      </c>
    </row>
    <row r="885" spans="2:8" x14ac:dyDescent="0.3">
      <c r="B885" s="31">
        <v>878</v>
      </c>
      <c r="C885" s="32">
        <v>43797</v>
      </c>
      <c r="D885" s="33" t="s">
        <v>145</v>
      </c>
      <c r="E885" s="34" t="s">
        <v>146</v>
      </c>
      <c r="F885" s="31" t="s">
        <v>135</v>
      </c>
      <c r="G885" s="31" t="s">
        <v>128</v>
      </c>
      <c r="H885" s="35">
        <v>1393030</v>
      </c>
    </row>
    <row r="886" spans="2:8" x14ac:dyDescent="0.3">
      <c r="B886" s="31">
        <v>879</v>
      </c>
      <c r="C886" s="32">
        <v>43773</v>
      </c>
      <c r="D886" s="33" t="s">
        <v>126</v>
      </c>
      <c r="E886" s="34" t="s">
        <v>127</v>
      </c>
      <c r="F886" s="31" t="s">
        <v>124</v>
      </c>
      <c r="G886" s="31" t="s">
        <v>128</v>
      </c>
      <c r="H886" s="35">
        <v>1268950</v>
      </c>
    </row>
    <row r="887" spans="2:8" x14ac:dyDescent="0.3">
      <c r="B887" s="31">
        <v>880</v>
      </c>
      <c r="C887" s="32">
        <v>43786</v>
      </c>
      <c r="D887" s="33" t="s">
        <v>122</v>
      </c>
      <c r="E887" s="34" t="s">
        <v>123</v>
      </c>
      <c r="F887" s="31" t="s">
        <v>135</v>
      </c>
      <c r="G887" s="31" t="s">
        <v>141</v>
      </c>
      <c r="H887" s="35">
        <v>904940</v>
      </c>
    </row>
    <row r="888" spans="2:8" x14ac:dyDescent="0.3">
      <c r="B888" s="31">
        <v>881</v>
      </c>
      <c r="C888" s="32">
        <v>43793</v>
      </c>
      <c r="D888" s="33" t="s">
        <v>139</v>
      </c>
      <c r="E888" s="34" t="s">
        <v>140</v>
      </c>
      <c r="F888" s="31" t="s">
        <v>144</v>
      </c>
      <c r="G888" s="31" t="s">
        <v>128</v>
      </c>
      <c r="H888" s="35">
        <v>1459410</v>
      </c>
    </row>
    <row r="889" spans="2:8" x14ac:dyDescent="0.3">
      <c r="B889" s="31">
        <v>882</v>
      </c>
      <c r="C889" s="32">
        <v>43779</v>
      </c>
      <c r="D889" s="33" t="s">
        <v>150</v>
      </c>
      <c r="E889" s="34" t="s">
        <v>151</v>
      </c>
      <c r="F889" s="31" t="s">
        <v>124</v>
      </c>
      <c r="G889" s="31" t="s">
        <v>136</v>
      </c>
      <c r="H889" s="35">
        <v>1493450</v>
      </c>
    </row>
    <row r="890" spans="2:8" x14ac:dyDescent="0.3">
      <c r="B890" s="31">
        <v>883</v>
      </c>
      <c r="C890" s="32">
        <v>43784</v>
      </c>
      <c r="D890" s="33" t="s">
        <v>161</v>
      </c>
      <c r="E890" s="34" t="s">
        <v>162</v>
      </c>
      <c r="F890" s="31" t="s">
        <v>135</v>
      </c>
      <c r="G890" s="31" t="s">
        <v>136</v>
      </c>
      <c r="H890" s="35">
        <v>1670220</v>
      </c>
    </row>
    <row r="891" spans="2:8" x14ac:dyDescent="0.3">
      <c r="B891" s="31">
        <v>884</v>
      </c>
      <c r="C891" s="32">
        <v>43776</v>
      </c>
      <c r="D891" s="33" t="s">
        <v>154</v>
      </c>
      <c r="E891" s="34" t="s">
        <v>155</v>
      </c>
      <c r="F891" s="31" t="s">
        <v>131</v>
      </c>
      <c r="G891" s="31" t="s">
        <v>128</v>
      </c>
      <c r="H891" s="35">
        <v>1182420</v>
      </c>
    </row>
    <row r="892" spans="2:8" x14ac:dyDescent="0.3">
      <c r="B892" s="31">
        <v>885</v>
      </c>
      <c r="C892" s="32">
        <v>43790</v>
      </c>
      <c r="D892" s="33" t="s">
        <v>159</v>
      </c>
      <c r="E892" s="34" t="s">
        <v>160</v>
      </c>
      <c r="F892" s="31" t="s">
        <v>135</v>
      </c>
      <c r="G892" s="31" t="s">
        <v>128</v>
      </c>
      <c r="H892" s="35">
        <v>1132360</v>
      </c>
    </row>
    <row r="893" spans="2:8" x14ac:dyDescent="0.3">
      <c r="B893" s="31">
        <v>886</v>
      </c>
      <c r="C893" s="32">
        <v>43794</v>
      </c>
      <c r="D893" s="33" t="s">
        <v>126</v>
      </c>
      <c r="E893" s="34" t="s">
        <v>127</v>
      </c>
      <c r="F893" s="31" t="s">
        <v>144</v>
      </c>
      <c r="G893" s="31" t="s">
        <v>128</v>
      </c>
      <c r="H893" s="35">
        <v>1461480</v>
      </c>
    </row>
    <row r="894" spans="2:8" x14ac:dyDescent="0.3">
      <c r="B894" s="31">
        <v>887</v>
      </c>
      <c r="C894" s="32">
        <v>43793</v>
      </c>
      <c r="D894" s="33" t="s">
        <v>137</v>
      </c>
      <c r="E894" s="34" t="s">
        <v>138</v>
      </c>
      <c r="F894" s="31" t="s">
        <v>144</v>
      </c>
      <c r="G894" s="31" t="s">
        <v>132</v>
      </c>
      <c r="H894" s="35">
        <v>1511090</v>
      </c>
    </row>
    <row r="895" spans="2:8" x14ac:dyDescent="0.3">
      <c r="B895" s="31">
        <v>888</v>
      </c>
      <c r="C895" s="32">
        <v>43770</v>
      </c>
      <c r="D895" s="33" t="s">
        <v>152</v>
      </c>
      <c r="E895" s="34" t="s">
        <v>153</v>
      </c>
      <c r="F895" s="31" t="s">
        <v>144</v>
      </c>
      <c r="G895" s="31" t="s">
        <v>128</v>
      </c>
      <c r="H895" s="35">
        <v>1391640</v>
      </c>
    </row>
    <row r="896" spans="2:8" x14ac:dyDescent="0.3">
      <c r="B896" s="31">
        <v>889</v>
      </c>
      <c r="C896" s="32">
        <v>43779</v>
      </c>
      <c r="D896" s="33" t="s">
        <v>145</v>
      </c>
      <c r="E896" s="34" t="s">
        <v>146</v>
      </c>
      <c r="F896" s="31" t="s">
        <v>135</v>
      </c>
      <c r="G896" s="31" t="s">
        <v>132</v>
      </c>
      <c r="H896" s="35">
        <v>1419090</v>
      </c>
    </row>
    <row r="897" spans="2:8" x14ac:dyDescent="0.3">
      <c r="B897" s="31">
        <v>890</v>
      </c>
      <c r="C897" s="32">
        <v>43797</v>
      </c>
      <c r="D897" s="33" t="s">
        <v>137</v>
      </c>
      <c r="E897" s="34" t="s">
        <v>138</v>
      </c>
      <c r="F897" s="31" t="s">
        <v>131</v>
      </c>
      <c r="G897" s="31" t="s">
        <v>132</v>
      </c>
      <c r="H897" s="35">
        <v>1356540</v>
      </c>
    </row>
    <row r="898" spans="2:8" x14ac:dyDescent="0.3">
      <c r="B898" s="31">
        <v>891</v>
      </c>
      <c r="C898" s="32">
        <v>43771</v>
      </c>
      <c r="D898" s="33" t="s">
        <v>148</v>
      </c>
      <c r="E898" s="34" t="s">
        <v>149</v>
      </c>
      <c r="F898" s="31" t="s">
        <v>131</v>
      </c>
      <c r="G898" s="31" t="s">
        <v>136</v>
      </c>
      <c r="H898" s="35">
        <v>1444240</v>
      </c>
    </row>
    <row r="899" spans="2:8" x14ac:dyDescent="0.3">
      <c r="B899" s="31">
        <v>892</v>
      </c>
      <c r="C899" s="32">
        <v>43780</v>
      </c>
      <c r="D899" s="33" t="s">
        <v>122</v>
      </c>
      <c r="E899" s="34" t="s">
        <v>123</v>
      </c>
      <c r="F899" s="31" t="s">
        <v>147</v>
      </c>
      <c r="G899" s="31" t="s">
        <v>158</v>
      </c>
      <c r="H899" s="35">
        <v>1684120</v>
      </c>
    </row>
    <row r="900" spans="2:8" x14ac:dyDescent="0.3">
      <c r="B900" s="31">
        <v>893</v>
      </c>
      <c r="C900" s="32">
        <v>43778</v>
      </c>
      <c r="D900" s="33" t="s">
        <v>152</v>
      </c>
      <c r="E900" s="34" t="s">
        <v>153</v>
      </c>
      <c r="F900" s="31" t="s">
        <v>147</v>
      </c>
      <c r="G900" s="31" t="s">
        <v>141</v>
      </c>
      <c r="H900" s="35">
        <v>1112180</v>
      </c>
    </row>
    <row r="901" spans="2:8" x14ac:dyDescent="0.3">
      <c r="B901" s="31">
        <v>894</v>
      </c>
      <c r="C901" s="32">
        <v>43793</v>
      </c>
      <c r="D901" s="33" t="s">
        <v>148</v>
      </c>
      <c r="E901" s="34" t="s">
        <v>149</v>
      </c>
      <c r="F901" s="31" t="s">
        <v>135</v>
      </c>
      <c r="G901" s="31" t="s">
        <v>141</v>
      </c>
      <c r="H901" s="35">
        <v>1225750</v>
      </c>
    </row>
    <row r="902" spans="2:8" x14ac:dyDescent="0.3">
      <c r="B902" s="31">
        <v>895</v>
      </c>
      <c r="C902" s="32">
        <v>43797</v>
      </c>
      <c r="D902" s="33" t="s">
        <v>133</v>
      </c>
      <c r="E902" s="34" t="s">
        <v>134</v>
      </c>
      <c r="F902" s="31" t="s">
        <v>131</v>
      </c>
      <c r="G902" s="31" t="s">
        <v>125</v>
      </c>
      <c r="H902" s="35">
        <v>1165290</v>
      </c>
    </row>
    <row r="903" spans="2:8" x14ac:dyDescent="0.3">
      <c r="B903" s="31">
        <v>896</v>
      </c>
      <c r="C903" s="32">
        <v>43793</v>
      </c>
      <c r="D903" s="33" t="s">
        <v>142</v>
      </c>
      <c r="E903" s="34" t="s">
        <v>143</v>
      </c>
      <c r="F903" s="31" t="s">
        <v>131</v>
      </c>
      <c r="G903" s="31" t="s">
        <v>141</v>
      </c>
      <c r="H903" s="35">
        <v>1077440</v>
      </c>
    </row>
    <row r="904" spans="2:8" x14ac:dyDescent="0.3">
      <c r="B904" s="31">
        <v>897</v>
      </c>
      <c r="C904" s="32">
        <v>43777</v>
      </c>
      <c r="D904" s="33" t="s">
        <v>159</v>
      </c>
      <c r="E904" s="34" t="s">
        <v>160</v>
      </c>
      <c r="F904" s="31" t="s">
        <v>144</v>
      </c>
      <c r="G904" s="31" t="s">
        <v>158</v>
      </c>
      <c r="H904" s="35">
        <v>1788590</v>
      </c>
    </row>
    <row r="905" spans="2:8" x14ac:dyDescent="0.3">
      <c r="B905" s="31">
        <v>898</v>
      </c>
      <c r="C905" s="32">
        <v>43770</v>
      </c>
      <c r="D905" s="33" t="s">
        <v>145</v>
      </c>
      <c r="E905" s="34" t="s">
        <v>146</v>
      </c>
      <c r="F905" s="31" t="s">
        <v>124</v>
      </c>
      <c r="G905" s="31" t="s">
        <v>132</v>
      </c>
      <c r="H905" s="35">
        <v>1508720</v>
      </c>
    </row>
    <row r="906" spans="2:8" x14ac:dyDescent="0.3">
      <c r="B906" s="31">
        <v>899</v>
      </c>
      <c r="C906" s="32">
        <v>43798</v>
      </c>
      <c r="D906" s="33" t="s">
        <v>154</v>
      </c>
      <c r="E906" s="34" t="s">
        <v>155</v>
      </c>
      <c r="F906" s="31" t="s">
        <v>124</v>
      </c>
      <c r="G906" s="31" t="s">
        <v>141</v>
      </c>
      <c r="H906" s="35">
        <v>1029730</v>
      </c>
    </row>
    <row r="907" spans="2:8" x14ac:dyDescent="0.3">
      <c r="B907" s="31">
        <v>900</v>
      </c>
      <c r="C907" s="32">
        <v>43790</v>
      </c>
      <c r="D907" s="33" t="s">
        <v>145</v>
      </c>
      <c r="E907" s="34" t="s">
        <v>146</v>
      </c>
      <c r="F907" s="31" t="s">
        <v>144</v>
      </c>
      <c r="G907" s="31" t="s">
        <v>136</v>
      </c>
      <c r="H907" s="35">
        <v>1196650</v>
      </c>
    </row>
    <row r="908" spans="2:8" x14ac:dyDescent="0.3">
      <c r="B908" s="31">
        <v>901</v>
      </c>
      <c r="C908" s="32">
        <v>43780</v>
      </c>
      <c r="D908" s="33" t="s">
        <v>150</v>
      </c>
      <c r="E908" s="34" t="s">
        <v>151</v>
      </c>
      <c r="F908" s="31" t="s">
        <v>144</v>
      </c>
      <c r="G908" s="31" t="s">
        <v>125</v>
      </c>
      <c r="H908" s="35">
        <v>1271470</v>
      </c>
    </row>
    <row r="909" spans="2:8" x14ac:dyDescent="0.3">
      <c r="B909" s="31">
        <v>902</v>
      </c>
      <c r="C909" s="32">
        <v>43779</v>
      </c>
      <c r="D909" s="33" t="s">
        <v>145</v>
      </c>
      <c r="E909" s="34" t="s">
        <v>146</v>
      </c>
      <c r="F909" s="31" t="s">
        <v>135</v>
      </c>
      <c r="G909" s="31" t="s">
        <v>132</v>
      </c>
      <c r="H909" s="35">
        <v>1368430</v>
      </c>
    </row>
    <row r="910" spans="2:8" x14ac:dyDescent="0.3">
      <c r="B910" s="31">
        <v>903</v>
      </c>
      <c r="C910" s="32">
        <v>43784</v>
      </c>
      <c r="D910" s="33" t="s">
        <v>154</v>
      </c>
      <c r="E910" s="34" t="s">
        <v>155</v>
      </c>
      <c r="F910" s="31" t="s">
        <v>131</v>
      </c>
      <c r="G910" s="31" t="s">
        <v>125</v>
      </c>
      <c r="H910" s="35">
        <v>1112600</v>
      </c>
    </row>
    <row r="911" spans="2:8" x14ac:dyDescent="0.3">
      <c r="B911" s="31">
        <v>904</v>
      </c>
      <c r="C911" s="32">
        <v>43787</v>
      </c>
      <c r="D911" s="33" t="s">
        <v>161</v>
      </c>
      <c r="E911" s="34" t="s">
        <v>162</v>
      </c>
      <c r="F911" s="31" t="s">
        <v>135</v>
      </c>
      <c r="G911" s="31" t="s">
        <v>125</v>
      </c>
      <c r="H911" s="35">
        <v>1441820</v>
      </c>
    </row>
    <row r="912" spans="2:8" x14ac:dyDescent="0.3">
      <c r="B912" s="31">
        <v>905</v>
      </c>
      <c r="C912" s="32">
        <v>43777</v>
      </c>
      <c r="D912" s="33" t="s">
        <v>154</v>
      </c>
      <c r="E912" s="34" t="s">
        <v>155</v>
      </c>
      <c r="F912" s="31" t="s">
        <v>147</v>
      </c>
      <c r="G912" s="31" t="s">
        <v>158</v>
      </c>
      <c r="H912" s="35">
        <v>1476630</v>
      </c>
    </row>
    <row r="913" spans="2:8" x14ac:dyDescent="0.3">
      <c r="B913" s="31">
        <v>906</v>
      </c>
      <c r="C913" s="32">
        <v>43773</v>
      </c>
      <c r="D913" s="33" t="s">
        <v>161</v>
      </c>
      <c r="E913" s="34" t="s">
        <v>162</v>
      </c>
      <c r="F913" s="31" t="s">
        <v>144</v>
      </c>
      <c r="G913" s="31" t="s">
        <v>158</v>
      </c>
      <c r="H913" s="35">
        <v>1313640</v>
      </c>
    </row>
    <row r="914" spans="2:8" x14ac:dyDescent="0.3">
      <c r="B914" s="31">
        <v>907</v>
      </c>
      <c r="C914" s="32">
        <v>43770</v>
      </c>
      <c r="D914" s="33" t="s">
        <v>152</v>
      </c>
      <c r="E914" s="34" t="s">
        <v>153</v>
      </c>
      <c r="F914" s="31" t="s">
        <v>131</v>
      </c>
      <c r="G914" s="31" t="s">
        <v>136</v>
      </c>
      <c r="H914" s="35">
        <v>1228610</v>
      </c>
    </row>
    <row r="915" spans="2:8" x14ac:dyDescent="0.3">
      <c r="B915" s="31">
        <v>908</v>
      </c>
      <c r="C915" s="32">
        <v>43776</v>
      </c>
      <c r="D915" s="33" t="s">
        <v>161</v>
      </c>
      <c r="E915" s="34" t="s">
        <v>162</v>
      </c>
      <c r="F915" s="31" t="s">
        <v>131</v>
      </c>
      <c r="G915" s="31" t="s">
        <v>132</v>
      </c>
      <c r="H915" s="35">
        <v>1452920</v>
      </c>
    </row>
    <row r="916" spans="2:8" x14ac:dyDescent="0.3">
      <c r="B916" s="31">
        <v>909</v>
      </c>
      <c r="C916" s="32">
        <v>43776</v>
      </c>
      <c r="D916" s="33" t="s">
        <v>167</v>
      </c>
      <c r="E916" s="34" t="s">
        <v>168</v>
      </c>
      <c r="F916" s="31" t="s">
        <v>135</v>
      </c>
      <c r="G916" s="31" t="s">
        <v>128</v>
      </c>
      <c r="H916" s="35">
        <v>1594790</v>
      </c>
    </row>
    <row r="917" spans="2:8" x14ac:dyDescent="0.3">
      <c r="B917" s="31">
        <v>910</v>
      </c>
      <c r="C917" s="32">
        <v>43771</v>
      </c>
      <c r="D917" s="33" t="s">
        <v>133</v>
      </c>
      <c r="E917" s="34" t="s">
        <v>134</v>
      </c>
      <c r="F917" s="31" t="s">
        <v>147</v>
      </c>
      <c r="G917" s="31" t="s">
        <v>128</v>
      </c>
      <c r="H917" s="35">
        <v>1228610</v>
      </c>
    </row>
    <row r="918" spans="2:8" x14ac:dyDescent="0.3">
      <c r="B918" s="31">
        <v>911</v>
      </c>
      <c r="C918" s="32">
        <v>43791</v>
      </c>
      <c r="D918" s="33" t="s">
        <v>159</v>
      </c>
      <c r="E918" s="34" t="s">
        <v>160</v>
      </c>
      <c r="F918" s="31" t="s">
        <v>135</v>
      </c>
      <c r="G918" s="31" t="s">
        <v>125</v>
      </c>
      <c r="H918" s="35">
        <v>1569710</v>
      </c>
    </row>
    <row r="919" spans="2:8" x14ac:dyDescent="0.3">
      <c r="B919" s="31">
        <v>912</v>
      </c>
      <c r="C919" s="32">
        <v>43772</v>
      </c>
      <c r="D919" s="33" t="s">
        <v>163</v>
      </c>
      <c r="E919" s="34" t="s">
        <v>164</v>
      </c>
      <c r="F919" s="31" t="s">
        <v>131</v>
      </c>
      <c r="G919" s="31" t="s">
        <v>158</v>
      </c>
      <c r="H919" s="35">
        <v>1228610</v>
      </c>
    </row>
    <row r="920" spans="2:8" x14ac:dyDescent="0.3">
      <c r="B920" s="31">
        <v>913</v>
      </c>
      <c r="C920" s="32">
        <v>43772</v>
      </c>
      <c r="D920" s="33" t="s">
        <v>163</v>
      </c>
      <c r="E920" s="34" t="s">
        <v>164</v>
      </c>
      <c r="F920" s="31" t="s">
        <v>135</v>
      </c>
      <c r="G920" s="31" t="s">
        <v>128</v>
      </c>
      <c r="H920" s="35">
        <v>1313640</v>
      </c>
    </row>
    <row r="921" spans="2:8" x14ac:dyDescent="0.3">
      <c r="B921" s="31">
        <v>914</v>
      </c>
      <c r="C921" s="32">
        <v>43790</v>
      </c>
      <c r="D921" s="33" t="s">
        <v>150</v>
      </c>
      <c r="E921" s="34" t="s">
        <v>151</v>
      </c>
      <c r="F921" s="31" t="s">
        <v>135</v>
      </c>
      <c r="G921" s="31" t="s">
        <v>141</v>
      </c>
      <c r="H921" s="35">
        <v>2097810</v>
      </c>
    </row>
    <row r="922" spans="2:8" x14ac:dyDescent="0.3">
      <c r="B922" s="31">
        <v>915</v>
      </c>
      <c r="C922" s="32">
        <v>43780</v>
      </c>
      <c r="D922" s="33" t="s">
        <v>167</v>
      </c>
      <c r="E922" s="34" t="s">
        <v>168</v>
      </c>
      <c r="F922" s="31" t="s">
        <v>147</v>
      </c>
      <c r="G922" s="31" t="s">
        <v>141</v>
      </c>
      <c r="H922" s="35">
        <v>1685540</v>
      </c>
    </row>
    <row r="923" spans="2:8" x14ac:dyDescent="0.3">
      <c r="B923" s="31">
        <v>916</v>
      </c>
      <c r="C923" s="32">
        <v>43779</v>
      </c>
      <c r="D923" s="33" t="s">
        <v>133</v>
      </c>
      <c r="E923" s="34" t="s">
        <v>134</v>
      </c>
      <c r="F923" s="31" t="s">
        <v>135</v>
      </c>
      <c r="G923" s="31" t="s">
        <v>136</v>
      </c>
      <c r="H923" s="35">
        <v>1448290</v>
      </c>
    </row>
    <row r="924" spans="2:8" x14ac:dyDescent="0.3">
      <c r="B924" s="31">
        <v>917</v>
      </c>
      <c r="C924" s="32">
        <v>43794</v>
      </c>
      <c r="D924" s="33" t="s">
        <v>150</v>
      </c>
      <c r="E924" s="34" t="s">
        <v>151</v>
      </c>
      <c r="F924" s="31" t="s">
        <v>144</v>
      </c>
      <c r="G924" s="31" t="s">
        <v>128</v>
      </c>
      <c r="H924" s="35">
        <v>1180780</v>
      </c>
    </row>
    <row r="925" spans="2:8" x14ac:dyDescent="0.3">
      <c r="B925" s="31">
        <v>918</v>
      </c>
      <c r="C925" s="32">
        <v>43772</v>
      </c>
      <c r="D925" s="33" t="s">
        <v>145</v>
      </c>
      <c r="E925" s="34" t="s">
        <v>146</v>
      </c>
      <c r="F925" s="31" t="s">
        <v>147</v>
      </c>
      <c r="G925" s="31" t="s">
        <v>128</v>
      </c>
      <c r="H925" s="35">
        <v>1517900</v>
      </c>
    </row>
    <row r="926" spans="2:8" x14ac:dyDescent="0.3">
      <c r="B926" s="31">
        <v>919</v>
      </c>
      <c r="C926" s="32">
        <v>43772</v>
      </c>
      <c r="D926" s="33" t="s">
        <v>165</v>
      </c>
      <c r="E926" s="34" t="s">
        <v>166</v>
      </c>
      <c r="F926" s="31" t="s">
        <v>124</v>
      </c>
      <c r="G926" s="31" t="s">
        <v>141</v>
      </c>
      <c r="H926" s="35">
        <v>1943420</v>
      </c>
    </row>
    <row r="927" spans="2:8" x14ac:dyDescent="0.3">
      <c r="B927" s="31">
        <v>920</v>
      </c>
      <c r="C927" s="32">
        <v>43797</v>
      </c>
      <c r="D927" s="33" t="s">
        <v>129</v>
      </c>
      <c r="E927" s="34" t="s">
        <v>130</v>
      </c>
      <c r="F927" s="31" t="s">
        <v>124</v>
      </c>
      <c r="G927" s="31" t="s">
        <v>128</v>
      </c>
      <c r="H927" s="35">
        <v>1702940</v>
      </c>
    </row>
    <row r="928" spans="2:8" x14ac:dyDescent="0.3">
      <c r="B928" s="31">
        <v>921</v>
      </c>
      <c r="C928" s="32">
        <v>43770</v>
      </c>
      <c r="D928" s="33" t="s">
        <v>122</v>
      </c>
      <c r="E928" s="34" t="s">
        <v>123</v>
      </c>
      <c r="F928" s="31" t="s">
        <v>124</v>
      </c>
      <c r="G928" s="31" t="s">
        <v>125</v>
      </c>
      <c r="H928" s="35">
        <v>1577700</v>
      </c>
    </row>
    <row r="929" spans="2:8" x14ac:dyDescent="0.3">
      <c r="B929" s="31">
        <v>922</v>
      </c>
      <c r="C929" s="32">
        <v>43794</v>
      </c>
      <c r="D929" s="33" t="s">
        <v>145</v>
      </c>
      <c r="E929" s="34" t="s">
        <v>146</v>
      </c>
      <c r="F929" s="31" t="s">
        <v>144</v>
      </c>
      <c r="G929" s="31" t="s">
        <v>136</v>
      </c>
      <c r="H929" s="35">
        <v>1522140</v>
      </c>
    </row>
    <row r="930" spans="2:8" x14ac:dyDescent="0.3">
      <c r="B930" s="31">
        <v>923</v>
      </c>
      <c r="C930" s="32">
        <v>43785</v>
      </c>
      <c r="D930" s="33" t="s">
        <v>145</v>
      </c>
      <c r="E930" s="34" t="s">
        <v>146</v>
      </c>
      <c r="F930" s="31" t="s">
        <v>131</v>
      </c>
      <c r="G930" s="31" t="s">
        <v>141</v>
      </c>
      <c r="H930" s="35">
        <v>1516950</v>
      </c>
    </row>
    <row r="931" spans="2:8" x14ac:dyDescent="0.3">
      <c r="B931" s="31">
        <v>924</v>
      </c>
      <c r="C931" s="32">
        <v>43793</v>
      </c>
      <c r="D931" s="33" t="s">
        <v>152</v>
      </c>
      <c r="E931" s="34" t="s">
        <v>153</v>
      </c>
      <c r="F931" s="31" t="s">
        <v>124</v>
      </c>
      <c r="G931" s="31" t="s">
        <v>128</v>
      </c>
      <c r="H931" s="35">
        <v>1432630</v>
      </c>
    </row>
    <row r="932" spans="2:8" x14ac:dyDescent="0.3">
      <c r="B932" s="31">
        <v>925</v>
      </c>
      <c r="C932" s="32">
        <v>43794</v>
      </c>
      <c r="D932" s="33" t="s">
        <v>150</v>
      </c>
      <c r="E932" s="34" t="s">
        <v>151</v>
      </c>
      <c r="F932" s="31" t="s">
        <v>135</v>
      </c>
      <c r="G932" s="31" t="s">
        <v>128</v>
      </c>
      <c r="H932" s="35">
        <v>1891810</v>
      </c>
    </row>
    <row r="933" spans="2:8" x14ac:dyDescent="0.3">
      <c r="B933" s="31">
        <v>926</v>
      </c>
      <c r="C933" s="32">
        <v>43799</v>
      </c>
      <c r="D933" s="33" t="s">
        <v>167</v>
      </c>
      <c r="E933" s="34" t="s">
        <v>168</v>
      </c>
      <c r="F933" s="31" t="s">
        <v>124</v>
      </c>
      <c r="G933" s="31" t="s">
        <v>141</v>
      </c>
      <c r="H933" s="35">
        <v>1957560</v>
      </c>
    </row>
    <row r="934" spans="2:8" x14ac:dyDescent="0.3">
      <c r="B934" s="31">
        <v>927</v>
      </c>
      <c r="C934" s="32">
        <v>43793</v>
      </c>
      <c r="D934" s="33" t="s">
        <v>150</v>
      </c>
      <c r="E934" s="34" t="s">
        <v>151</v>
      </c>
      <c r="F934" s="31" t="s">
        <v>131</v>
      </c>
      <c r="G934" s="31" t="s">
        <v>128</v>
      </c>
      <c r="H934" s="35">
        <v>1703450</v>
      </c>
    </row>
    <row r="935" spans="2:8" x14ac:dyDescent="0.3">
      <c r="B935" s="31">
        <v>928</v>
      </c>
      <c r="C935" s="32">
        <v>43780</v>
      </c>
      <c r="D935" s="33" t="s">
        <v>167</v>
      </c>
      <c r="E935" s="34" t="s">
        <v>168</v>
      </c>
      <c r="F935" s="31" t="s">
        <v>144</v>
      </c>
      <c r="G935" s="31" t="s">
        <v>158</v>
      </c>
      <c r="H935" s="35">
        <v>1580300</v>
      </c>
    </row>
    <row r="936" spans="2:8" x14ac:dyDescent="0.3">
      <c r="B936" s="31">
        <v>929</v>
      </c>
      <c r="C936" s="32">
        <v>43798</v>
      </c>
      <c r="D936" s="33" t="s">
        <v>145</v>
      </c>
      <c r="E936" s="34" t="s">
        <v>146</v>
      </c>
      <c r="F936" s="31" t="s">
        <v>124</v>
      </c>
      <c r="G936" s="31" t="s">
        <v>158</v>
      </c>
      <c r="H936" s="35">
        <v>1727150</v>
      </c>
    </row>
    <row r="937" spans="2:8" x14ac:dyDescent="0.3">
      <c r="B937" s="31">
        <v>930</v>
      </c>
      <c r="C937" s="32">
        <v>43784</v>
      </c>
      <c r="D937" s="33" t="s">
        <v>152</v>
      </c>
      <c r="E937" s="34" t="s">
        <v>153</v>
      </c>
      <c r="F937" s="31" t="s">
        <v>144</v>
      </c>
      <c r="G937" s="31" t="s">
        <v>128</v>
      </c>
      <c r="H937" s="35">
        <v>1660410</v>
      </c>
    </row>
    <row r="938" spans="2:8" x14ac:dyDescent="0.3">
      <c r="B938" s="31">
        <v>931</v>
      </c>
      <c r="C938" s="32">
        <v>43779</v>
      </c>
      <c r="D938" s="33" t="s">
        <v>152</v>
      </c>
      <c r="E938" s="34" t="s">
        <v>153</v>
      </c>
      <c r="F938" s="31" t="s">
        <v>144</v>
      </c>
      <c r="G938" s="31" t="s">
        <v>128</v>
      </c>
      <c r="H938" s="35">
        <v>1660410</v>
      </c>
    </row>
    <row r="939" spans="2:8" x14ac:dyDescent="0.3">
      <c r="B939" s="31">
        <v>932</v>
      </c>
      <c r="C939" s="32">
        <v>43786</v>
      </c>
      <c r="D939" s="33" t="s">
        <v>156</v>
      </c>
      <c r="E939" s="34" t="s">
        <v>157</v>
      </c>
      <c r="F939" s="31" t="s">
        <v>144</v>
      </c>
      <c r="G939" s="31" t="s">
        <v>136</v>
      </c>
      <c r="H939" s="35">
        <v>1730570</v>
      </c>
    </row>
    <row r="940" spans="2:8" x14ac:dyDescent="0.3">
      <c r="B940" s="31">
        <v>933</v>
      </c>
      <c r="C940" s="32">
        <v>43804</v>
      </c>
      <c r="D940" s="33" t="s">
        <v>159</v>
      </c>
      <c r="E940" s="34" t="s">
        <v>160</v>
      </c>
      <c r="F940" s="31" t="s">
        <v>147</v>
      </c>
      <c r="G940" s="31" t="s">
        <v>141</v>
      </c>
      <c r="H940" s="35">
        <v>1660410</v>
      </c>
    </row>
    <row r="941" spans="2:8" x14ac:dyDescent="0.3">
      <c r="B941" s="31">
        <v>934</v>
      </c>
      <c r="C941" s="32">
        <v>43812</v>
      </c>
      <c r="D941" s="33" t="s">
        <v>165</v>
      </c>
      <c r="E941" s="34" t="s">
        <v>166</v>
      </c>
      <c r="F941" s="31" t="s">
        <v>147</v>
      </c>
      <c r="G941" s="31" t="s">
        <v>158</v>
      </c>
      <c r="H941" s="35">
        <v>1128990</v>
      </c>
    </row>
    <row r="942" spans="2:8" x14ac:dyDescent="0.3">
      <c r="B942" s="31">
        <v>935</v>
      </c>
      <c r="C942" s="32">
        <v>43805</v>
      </c>
      <c r="D942" s="33" t="s">
        <v>126</v>
      </c>
      <c r="E942" s="34" t="s">
        <v>127</v>
      </c>
      <c r="F942" s="31" t="s">
        <v>124</v>
      </c>
      <c r="G942" s="31" t="s">
        <v>125</v>
      </c>
      <c r="H942" s="35">
        <v>1518560</v>
      </c>
    </row>
    <row r="943" spans="2:8" x14ac:dyDescent="0.3">
      <c r="B943" s="31">
        <v>936</v>
      </c>
      <c r="C943" s="32">
        <v>43825</v>
      </c>
      <c r="D943" s="33" t="s">
        <v>165</v>
      </c>
      <c r="E943" s="34" t="s">
        <v>166</v>
      </c>
      <c r="F943" s="31" t="s">
        <v>131</v>
      </c>
      <c r="G943" s="31" t="s">
        <v>136</v>
      </c>
      <c r="H943" s="35">
        <v>1625110</v>
      </c>
    </row>
    <row r="944" spans="2:8" x14ac:dyDescent="0.3">
      <c r="B944" s="31">
        <v>937</v>
      </c>
      <c r="C944" s="32">
        <v>43822</v>
      </c>
      <c r="D944" s="33" t="s">
        <v>145</v>
      </c>
      <c r="E944" s="34" t="s">
        <v>146</v>
      </c>
      <c r="F944" s="31" t="s">
        <v>147</v>
      </c>
      <c r="G944" s="31" t="s">
        <v>136</v>
      </c>
      <c r="H944" s="35">
        <v>1626270</v>
      </c>
    </row>
    <row r="945" spans="2:8" x14ac:dyDescent="0.3">
      <c r="B945" s="31">
        <v>938</v>
      </c>
      <c r="C945" s="32">
        <v>43825</v>
      </c>
      <c r="D945" s="33" t="s">
        <v>156</v>
      </c>
      <c r="E945" s="34" t="s">
        <v>157</v>
      </c>
      <c r="F945" s="31" t="s">
        <v>124</v>
      </c>
      <c r="G945" s="31" t="s">
        <v>132</v>
      </c>
      <c r="H945" s="35">
        <v>1551860</v>
      </c>
    </row>
    <row r="946" spans="2:8" x14ac:dyDescent="0.3">
      <c r="B946" s="31">
        <v>939</v>
      </c>
      <c r="C946" s="32">
        <v>43815</v>
      </c>
      <c r="D946" s="33" t="s">
        <v>145</v>
      </c>
      <c r="E946" s="34" t="s">
        <v>146</v>
      </c>
      <c r="F946" s="31" t="s">
        <v>131</v>
      </c>
      <c r="G946" s="31" t="s">
        <v>158</v>
      </c>
      <c r="H946" s="35">
        <v>1362740</v>
      </c>
    </row>
    <row r="947" spans="2:8" x14ac:dyDescent="0.3">
      <c r="B947" s="31">
        <v>940</v>
      </c>
      <c r="C947" s="32">
        <v>43808</v>
      </c>
      <c r="D947" s="33" t="s">
        <v>152</v>
      </c>
      <c r="E947" s="34" t="s">
        <v>153</v>
      </c>
      <c r="F947" s="31" t="s">
        <v>124</v>
      </c>
      <c r="G947" s="31" t="s">
        <v>132</v>
      </c>
      <c r="H947" s="35">
        <v>1381280</v>
      </c>
    </row>
    <row r="948" spans="2:8" x14ac:dyDescent="0.3">
      <c r="B948" s="31">
        <v>941</v>
      </c>
      <c r="C948" s="32">
        <v>43820</v>
      </c>
      <c r="D948" s="33" t="s">
        <v>122</v>
      </c>
      <c r="E948" s="34" t="s">
        <v>123</v>
      </c>
      <c r="F948" s="31" t="s">
        <v>144</v>
      </c>
      <c r="G948" s="31" t="s">
        <v>125</v>
      </c>
      <c r="H948" s="35">
        <v>588990</v>
      </c>
    </row>
    <row r="949" spans="2:8" x14ac:dyDescent="0.3">
      <c r="B949" s="31">
        <v>942</v>
      </c>
      <c r="C949" s="32">
        <v>43829</v>
      </c>
      <c r="D949" s="33" t="s">
        <v>129</v>
      </c>
      <c r="E949" s="34" t="s">
        <v>130</v>
      </c>
      <c r="F949" s="31" t="s">
        <v>147</v>
      </c>
      <c r="G949" s="31" t="s">
        <v>141</v>
      </c>
      <c r="H949" s="35">
        <v>1587280</v>
      </c>
    </row>
    <row r="950" spans="2:8" x14ac:dyDescent="0.3">
      <c r="B950" s="31">
        <v>943</v>
      </c>
      <c r="C950" s="32">
        <v>43815</v>
      </c>
      <c r="D950" s="33" t="s">
        <v>161</v>
      </c>
      <c r="E950" s="34" t="s">
        <v>162</v>
      </c>
      <c r="F950" s="31" t="s">
        <v>144</v>
      </c>
      <c r="G950" s="31" t="s">
        <v>125</v>
      </c>
      <c r="H950" s="35">
        <v>1577970</v>
      </c>
    </row>
    <row r="951" spans="2:8" x14ac:dyDescent="0.3">
      <c r="B951" s="31">
        <v>944</v>
      </c>
      <c r="C951" s="32">
        <v>43828</v>
      </c>
      <c r="D951" s="33" t="s">
        <v>148</v>
      </c>
      <c r="E951" s="34" t="s">
        <v>149</v>
      </c>
      <c r="F951" s="31" t="s">
        <v>135</v>
      </c>
      <c r="G951" s="31" t="s">
        <v>132</v>
      </c>
      <c r="H951" s="35">
        <v>2150350</v>
      </c>
    </row>
    <row r="952" spans="2:8" x14ac:dyDescent="0.3">
      <c r="B952" s="31">
        <v>945</v>
      </c>
      <c r="C952" s="32">
        <v>43805</v>
      </c>
      <c r="D952" s="33" t="s">
        <v>137</v>
      </c>
      <c r="E952" s="34" t="s">
        <v>138</v>
      </c>
      <c r="F952" s="31" t="s">
        <v>131</v>
      </c>
      <c r="G952" s="31" t="s">
        <v>136</v>
      </c>
      <c r="H952" s="35">
        <v>1586980</v>
      </c>
    </row>
    <row r="953" spans="2:8" x14ac:dyDescent="0.3">
      <c r="B953" s="31">
        <v>946</v>
      </c>
      <c r="C953" s="32">
        <v>43828</v>
      </c>
      <c r="D953" s="33" t="s">
        <v>122</v>
      </c>
      <c r="E953" s="34" t="s">
        <v>123</v>
      </c>
      <c r="F953" s="31" t="s">
        <v>144</v>
      </c>
      <c r="G953" s="31" t="s">
        <v>158</v>
      </c>
      <c r="H953" s="35">
        <v>1586980</v>
      </c>
    </row>
    <row r="954" spans="2:8" x14ac:dyDescent="0.3">
      <c r="B954" s="31">
        <v>947</v>
      </c>
      <c r="C954" s="32">
        <v>43808</v>
      </c>
      <c r="D954" s="33" t="s">
        <v>137</v>
      </c>
      <c r="E954" s="34" t="s">
        <v>138</v>
      </c>
      <c r="F954" s="31" t="s">
        <v>144</v>
      </c>
      <c r="G954" s="31" t="s">
        <v>136</v>
      </c>
      <c r="H954" s="35">
        <v>1586980</v>
      </c>
    </row>
    <row r="955" spans="2:8" x14ac:dyDescent="0.3">
      <c r="B955" s="31">
        <v>948</v>
      </c>
      <c r="C955" s="32">
        <v>43818</v>
      </c>
      <c r="D955" s="33" t="s">
        <v>137</v>
      </c>
      <c r="E955" s="34" t="s">
        <v>138</v>
      </c>
      <c r="F955" s="31" t="s">
        <v>131</v>
      </c>
      <c r="G955" s="31" t="s">
        <v>158</v>
      </c>
      <c r="H955" s="35">
        <v>1589300</v>
      </c>
    </row>
    <row r="956" spans="2:8" x14ac:dyDescent="0.3">
      <c r="B956" s="31">
        <v>949</v>
      </c>
      <c r="C956" s="32">
        <v>43821</v>
      </c>
      <c r="D956" s="33" t="s">
        <v>122</v>
      </c>
      <c r="E956" s="34" t="s">
        <v>123</v>
      </c>
      <c r="F956" s="31" t="s">
        <v>135</v>
      </c>
      <c r="G956" s="31" t="s">
        <v>158</v>
      </c>
      <c r="H956" s="35">
        <v>1610370</v>
      </c>
    </row>
    <row r="957" spans="2:8" x14ac:dyDescent="0.3">
      <c r="B957" s="31">
        <v>950</v>
      </c>
      <c r="C957" s="32">
        <v>43814</v>
      </c>
      <c r="D957" s="33" t="s">
        <v>139</v>
      </c>
      <c r="E957" s="34" t="s">
        <v>140</v>
      </c>
      <c r="F957" s="31" t="s">
        <v>144</v>
      </c>
      <c r="G957" s="31" t="s">
        <v>132</v>
      </c>
      <c r="H957" s="35">
        <v>1201460</v>
      </c>
    </row>
    <row r="958" spans="2:8" x14ac:dyDescent="0.3">
      <c r="B958" s="31">
        <v>951</v>
      </c>
      <c r="C958" s="32">
        <v>43821</v>
      </c>
      <c r="D958" s="33" t="s">
        <v>161</v>
      </c>
      <c r="E958" s="34" t="s">
        <v>162</v>
      </c>
      <c r="F958" s="31" t="s">
        <v>124</v>
      </c>
      <c r="G958" s="31" t="s">
        <v>136</v>
      </c>
      <c r="H958" s="35">
        <v>2591690</v>
      </c>
    </row>
    <row r="959" spans="2:8" x14ac:dyDescent="0.3">
      <c r="B959" s="31">
        <v>952</v>
      </c>
      <c r="C959" s="32">
        <v>43828</v>
      </c>
      <c r="D959" s="33" t="s">
        <v>165</v>
      </c>
      <c r="E959" s="34" t="s">
        <v>166</v>
      </c>
      <c r="F959" s="31" t="s">
        <v>131</v>
      </c>
      <c r="G959" s="31" t="s">
        <v>141</v>
      </c>
      <c r="H959" s="35">
        <v>2479580</v>
      </c>
    </row>
    <row r="960" spans="2:8" x14ac:dyDescent="0.3">
      <c r="B960" s="31">
        <v>953</v>
      </c>
      <c r="C960" s="32">
        <v>43808</v>
      </c>
      <c r="D960" s="33" t="s">
        <v>165</v>
      </c>
      <c r="E960" s="34" t="s">
        <v>166</v>
      </c>
      <c r="F960" s="31" t="s">
        <v>144</v>
      </c>
      <c r="G960" s="31" t="s">
        <v>158</v>
      </c>
      <c r="H960" s="35">
        <v>2429630</v>
      </c>
    </row>
    <row r="961" spans="2:8" x14ac:dyDescent="0.3">
      <c r="B961" s="31">
        <v>954</v>
      </c>
      <c r="C961" s="32">
        <v>43801</v>
      </c>
      <c r="D961" s="33" t="s">
        <v>122</v>
      </c>
      <c r="E961" s="34" t="s">
        <v>123</v>
      </c>
      <c r="F961" s="31" t="s">
        <v>147</v>
      </c>
      <c r="G961" s="31" t="s">
        <v>136</v>
      </c>
      <c r="H961" s="35">
        <v>2428460</v>
      </c>
    </row>
    <row r="962" spans="2:8" x14ac:dyDescent="0.3">
      <c r="B962" s="31">
        <v>955</v>
      </c>
      <c r="C962" s="32">
        <v>43815</v>
      </c>
      <c r="D962" s="33" t="s">
        <v>148</v>
      </c>
      <c r="E962" s="34" t="s">
        <v>149</v>
      </c>
      <c r="F962" s="31" t="s">
        <v>135</v>
      </c>
      <c r="G962" s="31" t="s">
        <v>136</v>
      </c>
      <c r="H962" s="35">
        <v>2457700</v>
      </c>
    </row>
    <row r="963" spans="2:8" x14ac:dyDescent="0.3">
      <c r="B963" s="31">
        <v>956</v>
      </c>
      <c r="C963" s="32">
        <v>43808</v>
      </c>
      <c r="D963" s="33" t="s">
        <v>129</v>
      </c>
      <c r="E963" s="34" t="s">
        <v>130</v>
      </c>
      <c r="F963" s="31" t="s">
        <v>147</v>
      </c>
      <c r="G963" s="31" t="s">
        <v>132</v>
      </c>
      <c r="H963" s="35">
        <v>2444330</v>
      </c>
    </row>
    <row r="964" spans="2:8" x14ac:dyDescent="0.3">
      <c r="B964" s="31">
        <v>957</v>
      </c>
      <c r="C964" s="32">
        <v>43821</v>
      </c>
      <c r="D964" s="33" t="s">
        <v>156</v>
      </c>
      <c r="E964" s="34" t="s">
        <v>157</v>
      </c>
      <c r="F964" s="31" t="s">
        <v>147</v>
      </c>
      <c r="G964" s="31" t="s">
        <v>158</v>
      </c>
      <c r="H964" s="35">
        <v>2367010</v>
      </c>
    </row>
    <row r="965" spans="2:8" x14ac:dyDescent="0.3">
      <c r="B965" s="31">
        <v>958</v>
      </c>
      <c r="C965" s="32">
        <v>43822</v>
      </c>
      <c r="D965" s="33" t="s">
        <v>139</v>
      </c>
      <c r="E965" s="34" t="s">
        <v>140</v>
      </c>
      <c r="F965" s="31" t="s">
        <v>124</v>
      </c>
      <c r="G965" s="31" t="s">
        <v>125</v>
      </c>
      <c r="H965" s="35">
        <v>2443840</v>
      </c>
    </row>
    <row r="966" spans="2:8" x14ac:dyDescent="0.3">
      <c r="B966" s="31">
        <v>959</v>
      </c>
      <c r="C966" s="32">
        <v>43813</v>
      </c>
      <c r="D966" s="33" t="s">
        <v>148</v>
      </c>
      <c r="E966" s="34" t="s">
        <v>149</v>
      </c>
      <c r="F966" s="31" t="s">
        <v>144</v>
      </c>
      <c r="G966" s="31" t="s">
        <v>128</v>
      </c>
      <c r="H966" s="35">
        <v>2429120</v>
      </c>
    </row>
    <row r="967" spans="2:8" x14ac:dyDescent="0.3">
      <c r="B967" s="31">
        <v>960</v>
      </c>
      <c r="C967" s="32">
        <v>43812</v>
      </c>
      <c r="D967" s="33" t="s">
        <v>126</v>
      </c>
      <c r="E967" s="34" t="s">
        <v>127</v>
      </c>
      <c r="F967" s="31" t="s">
        <v>147</v>
      </c>
      <c r="G967" s="31" t="s">
        <v>141</v>
      </c>
      <c r="H967" s="35">
        <v>2328510</v>
      </c>
    </row>
    <row r="968" spans="2:8" x14ac:dyDescent="0.3">
      <c r="B968" s="31">
        <v>961</v>
      </c>
      <c r="C968" s="32">
        <v>43805</v>
      </c>
      <c r="D968" s="33" t="s">
        <v>137</v>
      </c>
      <c r="E968" s="34" t="s">
        <v>138</v>
      </c>
      <c r="F968" s="31" t="s">
        <v>144</v>
      </c>
      <c r="G968" s="31" t="s">
        <v>132</v>
      </c>
      <c r="H968" s="35">
        <v>2337610</v>
      </c>
    </row>
    <row r="969" spans="2:8" x14ac:dyDescent="0.3">
      <c r="B969" s="31">
        <v>962</v>
      </c>
      <c r="C969" s="32">
        <v>43818</v>
      </c>
      <c r="D969" s="33" t="s">
        <v>165</v>
      </c>
      <c r="E969" s="34" t="s">
        <v>166</v>
      </c>
      <c r="F969" s="31" t="s">
        <v>135</v>
      </c>
      <c r="G969" s="31" t="s">
        <v>141</v>
      </c>
      <c r="H969" s="35">
        <v>2406220</v>
      </c>
    </row>
    <row r="970" spans="2:8" x14ac:dyDescent="0.3">
      <c r="B970" s="31">
        <v>963</v>
      </c>
      <c r="C970" s="32">
        <v>43820</v>
      </c>
      <c r="D970" s="33" t="s">
        <v>126</v>
      </c>
      <c r="E970" s="34" t="s">
        <v>127</v>
      </c>
      <c r="F970" s="31" t="s">
        <v>144</v>
      </c>
      <c r="G970" s="31" t="s">
        <v>136</v>
      </c>
      <c r="H970" s="35">
        <v>2087990</v>
      </c>
    </row>
    <row r="971" spans="2:8" x14ac:dyDescent="0.3">
      <c r="B971" s="31">
        <v>964</v>
      </c>
      <c r="C971" s="32">
        <v>43811</v>
      </c>
      <c r="D971" s="33" t="s">
        <v>133</v>
      </c>
      <c r="E971" s="34" t="s">
        <v>134</v>
      </c>
      <c r="F971" s="31" t="s">
        <v>147</v>
      </c>
      <c r="G971" s="31" t="s">
        <v>136</v>
      </c>
      <c r="H971" s="35">
        <v>2344500</v>
      </c>
    </row>
    <row r="972" spans="2:8" x14ac:dyDescent="0.3">
      <c r="B972" s="31">
        <v>965</v>
      </c>
      <c r="C972" s="32">
        <v>43805</v>
      </c>
      <c r="D972" s="33" t="s">
        <v>167</v>
      </c>
      <c r="E972" s="34" t="s">
        <v>168</v>
      </c>
      <c r="F972" s="31" t="s">
        <v>135</v>
      </c>
      <c r="G972" s="31" t="s">
        <v>128</v>
      </c>
      <c r="H972" s="35">
        <v>1397570</v>
      </c>
    </row>
    <row r="973" spans="2:8" x14ac:dyDescent="0.3">
      <c r="B973" s="31">
        <v>966</v>
      </c>
      <c r="C973" s="32">
        <v>43805</v>
      </c>
      <c r="D973" s="33" t="s">
        <v>156</v>
      </c>
      <c r="E973" s="34" t="s">
        <v>157</v>
      </c>
      <c r="F973" s="31" t="s">
        <v>144</v>
      </c>
      <c r="G973" s="31" t="s">
        <v>125</v>
      </c>
      <c r="H973" s="35">
        <v>2195020</v>
      </c>
    </row>
    <row r="974" spans="2:8" x14ac:dyDescent="0.3">
      <c r="B974" s="31">
        <v>967</v>
      </c>
      <c r="C974" s="32">
        <v>43827</v>
      </c>
      <c r="D974" s="33" t="s">
        <v>154</v>
      </c>
      <c r="E974" s="34" t="s">
        <v>155</v>
      </c>
      <c r="F974" s="31" t="s">
        <v>147</v>
      </c>
      <c r="G974" s="31" t="s">
        <v>125</v>
      </c>
      <c r="H974" s="35">
        <v>1654910</v>
      </c>
    </row>
    <row r="975" spans="2:8" x14ac:dyDescent="0.3">
      <c r="B975" s="31">
        <v>968</v>
      </c>
      <c r="C975" s="32">
        <v>43828</v>
      </c>
      <c r="D975" s="33" t="s">
        <v>152</v>
      </c>
      <c r="E975" s="34" t="s">
        <v>153</v>
      </c>
      <c r="F975" s="31" t="s">
        <v>144</v>
      </c>
      <c r="G975" s="31" t="s">
        <v>132</v>
      </c>
      <c r="H975" s="35">
        <v>1615910</v>
      </c>
    </row>
    <row r="976" spans="2:8" x14ac:dyDescent="0.3">
      <c r="B976" s="31">
        <v>969</v>
      </c>
      <c r="C976" s="32">
        <v>43807</v>
      </c>
      <c r="D976" s="33" t="s">
        <v>129</v>
      </c>
      <c r="E976" s="34" t="s">
        <v>130</v>
      </c>
      <c r="F976" s="31" t="s">
        <v>124</v>
      </c>
      <c r="G976" s="31" t="s">
        <v>158</v>
      </c>
      <c r="H976" s="35">
        <v>1731110</v>
      </c>
    </row>
    <row r="977" spans="2:8" x14ac:dyDescent="0.3">
      <c r="B977" s="31">
        <v>970</v>
      </c>
      <c r="C977" s="32">
        <v>43813</v>
      </c>
      <c r="D977" s="33" t="s">
        <v>159</v>
      </c>
      <c r="E977" s="34" t="s">
        <v>160</v>
      </c>
      <c r="F977" s="31" t="s">
        <v>135</v>
      </c>
      <c r="G977" s="31" t="s">
        <v>128</v>
      </c>
      <c r="H977" s="35">
        <v>1720050</v>
      </c>
    </row>
    <row r="978" spans="2:8" x14ac:dyDescent="0.3">
      <c r="B978" s="31">
        <v>971</v>
      </c>
      <c r="C978" s="32">
        <v>43800</v>
      </c>
      <c r="D978" s="33" t="s">
        <v>126</v>
      </c>
      <c r="E978" s="34" t="s">
        <v>127</v>
      </c>
      <c r="F978" s="31" t="s">
        <v>131</v>
      </c>
      <c r="G978" s="31" t="s">
        <v>132</v>
      </c>
      <c r="H978" s="35">
        <v>1944160</v>
      </c>
    </row>
    <row r="979" spans="2:8" x14ac:dyDescent="0.3">
      <c r="B979" s="31">
        <v>972</v>
      </c>
      <c r="C979" s="32">
        <v>43808</v>
      </c>
      <c r="D979" s="33" t="s">
        <v>156</v>
      </c>
      <c r="E979" s="34" t="s">
        <v>157</v>
      </c>
      <c r="F979" s="31" t="s">
        <v>131</v>
      </c>
      <c r="G979" s="31" t="s">
        <v>128</v>
      </c>
      <c r="H979" s="35">
        <v>1989360</v>
      </c>
    </row>
    <row r="980" spans="2:8" x14ac:dyDescent="0.3">
      <c r="B980" s="31">
        <v>973</v>
      </c>
      <c r="C980" s="32">
        <v>43807</v>
      </c>
      <c r="D980" s="33" t="s">
        <v>142</v>
      </c>
      <c r="E980" s="34" t="s">
        <v>143</v>
      </c>
      <c r="F980" s="31" t="s">
        <v>124</v>
      </c>
      <c r="G980" s="31" t="s">
        <v>125</v>
      </c>
      <c r="H980" s="35">
        <v>1361420</v>
      </c>
    </row>
    <row r="981" spans="2:8" x14ac:dyDescent="0.3">
      <c r="B981" s="31">
        <v>974</v>
      </c>
      <c r="C981" s="32">
        <v>43821</v>
      </c>
      <c r="D981" s="33" t="s">
        <v>126</v>
      </c>
      <c r="E981" s="34" t="s">
        <v>127</v>
      </c>
      <c r="F981" s="31" t="s">
        <v>147</v>
      </c>
      <c r="G981" s="31" t="s">
        <v>125</v>
      </c>
      <c r="H981" s="35">
        <v>1638430</v>
      </c>
    </row>
    <row r="982" spans="2:8" x14ac:dyDescent="0.3">
      <c r="B982" s="31">
        <v>975</v>
      </c>
      <c r="C982" s="32">
        <v>43828</v>
      </c>
      <c r="D982" s="33" t="s">
        <v>159</v>
      </c>
      <c r="E982" s="34" t="s">
        <v>160</v>
      </c>
      <c r="F982" s="31" t="s">
        <v>144</v>
      </c>
      <c r="G982" s="31" t="s">
        <v>158</v>
      </c>
      <c r="H982" s="35">
        <v>1487590</v>
      </c>
    </row>
    <row r="983" spans="2:8" x14ac:dyDescent="0.3">
      <c r="B983" s="31">
        <v>976</v>
      </c>
      <c r="C983" s="32">
        <v>43814</v>
      </c>
      <c r="D983" s="33" t="s">
        <v>152</v>
      </c>
      <c r="E983" s="34" t="s">
        <v>153</v>
      </c>
      <c r="F983" s="31" t="s">
        <v>135</v>
      </c>
      <c r="G983" s="31" t="s">
        <v>128</v>
      </c>
      <c r="H983" s="35">
        <v>2277770</v>
      </c>
    </row>
    <row r="984" spans="2:8" x14ac:dyDescent="0.3">
      <c r="B984" s="31">
        <v>977</v>
      </c>
      <c r="C984" s="32">
        <v>43800</v>
      </c>
      <c r="D984" s="33" t="s">
        <v>163</v>
      </c>
      <c r="E984" s="34" t="s">
        <v>164</v>
      </c>
      <c r="F984" s="31" t="s">
        <v>144</v>
      </c>
      <c r="G984" s="31" t="s">
        <v>128</v>
      </c>
      <c r="H984" s="35">
        <v>1193570</v>
      </c>
    </row>
    <row r="985" spans="2:8" x14ac:dyDescent="0.3">
      <c r="B985" s="31">
        <v>978</v>
      </c>
      <c r="C985" s="32">
        <v>43814</v>
      </c>
      <c r="D985" s="33" t="s">
        <v>150</v>
      </c>
      <c r="E985" s="34" t="s">
        <v>151</v>
      </c>
      <c r="F985" s="31" t="s">
        <v>124</v>
      </c>
      <c r="G985" s="31" t="s">
        <v>125</v>
      </c>
      <c r="H985" s="35">
        <v>1137730</v>
      </c>
    </row>
    <row r="986" spans="2:8" x14ac:dyDescent="0.3">
      <c r="B986" s="31">
        <v>979</v>
      </c>
      <c r="C986" s="32">
        <v>43801</v>
      </c>
      <c r="D986" s="33" t="s">
        <v>122</v>
      </c>
      <c r="E986" s="34" t="s">
        <v>123</v>
      </c>
      <c r="F986" s="31" t="s">
        <v>144</v>
      </c>
      <c r="G986" s="31" t="s">
        <v>141</v>
      </c>
      <c r="H986" s="35">
        <v>1137730</v>
      </c>
    </row>
    <row r="987" spans="2:8" x14ac:dyDescent="0.3">
      <c r="B987" s="31">
        <v>980</v>
      </c>
      <c r="C987" s="32">
        <v>43801</v>
      </c>
      <c r="D987" s="33" t="s">
        <v>154</v>
      </c>
      <c r="E987" s="34" t="s">
        <v>155</v>
      </c>
      <c r="F987" s="31" t="s">
        <v>147</v>
      </c>
      <c r="G987" s="31" t="s">
        <v>136</v>
      </c>
      <c r="H987" s="35">
        <v>1137730</v>
      </c>
    </row>
    <row r="988" spans="2:8" x14ac:dyDescent="0.3">
      <c r="B988" s="31">
        <v>981</v>
      </c>
      <c r="C988" s="32">
        <v>43819</v>
      </c>
      <c r="D988" s="33" t="s">
        <v>145</v>
      </c>
      <c r="E988" s="34" t="s">
        <v>146</v>
      </c>
      <c r="F988" s="31" t="s">
        <v>131</v>
      </c>
      <c r="G988" s="31" t="s">
        <v>136</v>
      </c>
      <c r="H988" s="35">
        <v>1527280</v>
      </c>
    </row>
    <row r="989" spans="2:8" x14ac:dyDescent="0.3">
      <c r="B989" s="31">
        <v>982</v>
      </c>
      <c r="C989" s="32">
        <v>43828</v>
      </c>
      <c r="D989" s="33" t="s">
        <v>150</v>
      </c>
      <c r="E989" s="34" t="s">
        <v>151</v>
      </c>
      <c r="F989" s="31" t="s">
        <v>147</v>
      </c>
      <c r="G989" s="31" t="s">
        <v>125</v>
      </c>
      <c r="H989" s="35">
        <v>1365260</v>
      </c>
    </row>
    <row r="990" spans="2:8" x14ac:dyDescent="0.3">
      <c r="B990" s="31">
        <v>983</v>
      </c>
      <c r="C990" s="32">
        <v>43826</v>
      </c>
      <c r="D990" s="33" t="s">
        <v>142</v>
      </c>
      <c r="E990" s="34" t="s">
        <v>143</v>
      </c>
      <c r="F990" s="31" t="s">
        <v>135</v>
      </c>
      <c r="G990" s="31" t="s">
        <v>136</v>
      </c>
      <c r="H990" s="35">
        <v>1292640</v>
      </c>
    </row>
    <row r="991" spans="2:8" x14ac:dyDescent="0.3">
      <c r="B991" s="31">
        <v>984</v>
      </c>
      <c r="C991" s="32">
        <v>43819</v>
      </c>
      <c r="D991" s="33" t="s">
        <v>139</v>
      </c>
      <c r="E991" s="34" t="s">
        <v>140</v>
      </c>
      <c r="F991" s="31" t="s">
        <v>124</v>
      </c>
      <c r="G991" s="31" t="s">
        <v>141</v>
      </c>
      <c r="H991" s="35">
        <v>1292640</v>
      </c>
    </row>
    <row r="992" spans="2:8" x14ac:dyDescent="0.3">
      <c r="B992" s="31">
        <v>985</v>
      </c>
      <c r="C992" s="32">
        <v>43829</v>
      </c>
      <c r="D992" s="33" t="s">
        <v>129</v>
      </c>
      <c r="E992" s="34" t="s">
        <v>130</v>
      </c>
      <c r="F992" s="31" t="s">
        <v>131</v>
      </c>
      <c r="G992" s="31" t="s">
        <v>158</v>
      </c>
      <c r="H992" s="35">
        <v>1243530</v>
      </c>
    </row>
    <row r="993" spans="2:8" x14ac:dyDescent="0.3">
      <c r="B993" s="31">
        <v>986</v>
      </c>
      <c r="C993" s="32">
        <v>43806</v>
      </c>
      <c r="D993" s="33" t="s">
        <v>167</v>
      </c>
      <c r="E993" s="34" t="s">
        <v>168</v>
      </c>
      <c r="F993" s="31" t="s">
        <v>131</v>
      </c>
      <c r="G993" s="31" t="s">
        <v>136</v>
      </c>
      <c r="H993" s="35">
        <v>1172580</v>
      </c>
    </row>
    <row r="994" spans="2:8" x14ac:dyDescent="0.3">
      <c r="B994" s="31">
        <v>987</v>
      </c>
      <c r="C994" s="32">
        <v>43808</v>
      </c>
      <c r="D994" s="33" t="s">
        <v>139</v>
      </c>
      <c r="E994" s="34" t="s">
        <v>140</v>
      </c>
      <c r="F994" s="31" t="s">
        <v>131</v>
      </c>
      <c r="G994" s="31" t="s">
        <v>132</v>
      </c>
      <c r="H994" s="35">
        <v>1172580</v>
      </c>
    </row>
    <row r="995" spans="2:8" x14ac:dyDescent="0.3">
      <c r="B995" s="31">
        <v>988</v>
      </c>
      <c r="C995" s="32">
        <v>43804</v>
      </c>
      <c r="D995" s="33" t="s">
        <v>154</v>
      </c>
      <c r="E995" s="34" t="s">
        <v>155</v>
      </c>
      <c r="F995" s="31" t="s">
        <v>144</v>
      </c>
      <c r="G995" s="31" t="s">
        <v>125</v>
      </c>
      <c r="H995" s="35">
        <v>1172580</v>
      </c>
    </row>
    <row r="996" spans="2:8" x14ac:dyDescent="0.3">
      <c r="B996" s="31">
        <v>989</v>
      </c>
      <c r="C996" s="32">
        <v>43821</v>
      </c>
      <c r="D996" s="33" t="s">
        <v>126</v>
      </c>
      <c r="E996" s="34" t="s">
        <v>127</v>
      </c>
      <c r="F996" s="31" t="s">
        <v>124</v>
      </c>
      <c r="G996" s="31" t="s">
        <v>136</v>
      </c>
      <c r="H996" s="35">
        <v>1393400</v>
      </c>
    </row>
    <row r="997" spans="2:8" x14ac:dyDescent="0.3">
      <c r="B997" s="31">
        <v>990</v>
      </c>
      <c r="C997" s="32">
        <v>43801</v>
      </c>
      <c r="D997" s="33" t="s">
        <v>152</v>
      </c>
      <c r="E997" s="34" t="s">
        <v>153</v>
      </c>
      <c r="F997" s="31" t="s">
        <v>144</v>
      </c>
      <c r="G997" s="31" t="s">
        <v>141</v>
      </c>
      <c r="H997" s="35">
        <v>1942270</v>
      </c>
    </row>
    <row r="998" spans="2:8" x14ac:dyDescent="0.3">
      <c r="B998" s="31">
        <v>991</v>
      </c>
      <c r="C998" s="32">
        <v>43822</v>
      </c>
      <c r="D998" s="33" t="s">
        <v>133</v>
      </c>
      <c r="E998" s="34" t="s">
        <v>134</v>
      </c>
      <c r="F998" s="31" t="s">
        <v>135</v>
      </c>
      <c r="G998" s="31" t="s">
        <v>125</v>
      </c>
      <c r="H998" s="35">
        <v>1850660</v>
      </c>
    </row>
    <row r="999" spans="2:8" x14ac:dyDescent="0.3">
      <c r="B999" s="31">
        <v>992</v>
      </c>
      <c r="C999" s="32">
        <v>43829</v>
      </c>
      <c r="D999" s="33" t="s">
        <v>126</v>
      </c>
      <c r="E999" s="34" t="s">
        <v>127</v>
      </c>
      <c r="F999" s="31" t="s">
        <v>124</v>
      </c>
      <c r="G999" s="31" t="s">
        <v>158</v>
      </c>
      <c r="H999" s="35">
        <v>2125500</v>
      </c>
    </row>
    <row r="1000" spans="2:8" x14ac:dyDescent="0.3">
      <c r="B1000" s="31">
        <v>993</v>
      </c>
      <c r="C1000" s="32">
        <v>43827</v>
      </c>
      <c r="D1000" s="33" t="s">
        <v>159</v>
      </c>
      <c r="E1000" s="34" t="s">
        <v>160</v>
      </c>
      <c r="F1000" s="31" t="s">
        <v>131</v>
      </c>
      <c r="G1000" s="31" t="s">
        <v>125</v>
      </c>
      <c r="H1000" s="35">
        <v>1797390</v>
      </c>
    </row>
    <row r="1001" spans="2:8" x14ac:dyDescent="0.3">
      <c r="B1001" s="31">
        <v>994</v>
      </c>
      <c r="C1001" s="32">
        <v>43814</v>
      </c>
      <c r="D1001" s="33" t="s">
        <v>154</v>
      </c>
      <c r="E1001" s="34" t="s">
        <v>155</v>
      </c>
      <c r="F1001" s="31" t="s">
        <v>131</v>
      </c>
      <c r="G1001" s="31" t="s">
        <v>141</v>
      </c>
      <c r="H1001" s="35">
        <v>1713240</v>
      </c>
    </row>
    <row r="1002" spans="2:8" x14ac:dyDescent="0.3">
      <c r="B1002" s="31">
        <v>995</v>
      </c>
      <c r="C1002" s="32">
        <v>43818</v>
      </c>
      <c r="D1002" s="33" t="s">
        <v>129</v>
      </c>
      <c r="E1002" s="34" t="s">
        <v>130</v>
      </c>
      <c r="F1002" s="31" t="s">
        <v>144</v>
      </c>
      <c r="G1002" s="31" t="s">
        <v>128</v>
      </c>
      <c r="H1002" s="35">
        <v>1713240</v>
      </c>
    </row>
    <row r="1003" spans="2:8" x14ac:dyDescent="0.3">
      <c r="B1003" s="31">
        <v>996</v>
      </c>
      <c r="C1003" s="32">
        <v>43820</v>
      </c>
      <c r="D1003" s="33" t="s">
        <v>122</v>
      </c>
      <c r="E1003" s="34" t="s">
        <v>123</v>
      </c>
      <c r="F1003" s="31" t="s">
        <v>144</v>
      </c>
      <c r="G1003" s="31" t="s">
        <v>158</v>
      </c>
      <c r="H1003" s="35">
        <v>1713240</v>
      </c>
    </row>
    <row r="1004" spans="2:8" x14ac:dyDescent="0.3">
      <c r="B1004" s="31">
        <v>997</v>
      </c>
      <c r="C1004" s="32">
        <v>43815</v>
      </c>
      <c r="D1004" s="33" t="s">
        <v>139</v>
      </c>
      <c r="E1004" s="34" t="s">
        <v>140</v>
      </c>
      <c r="F1004" s="31" t="s">
        <v>135</v>
      </c>
      <c r="G1004" s="31" t="s">
        <v>158</v>
      </c>
      <c r="H1004" s="35">
        <v>1621630</v>
      </c>
    </row>
    <row r="1005" spans="2:8" x14ac:dyDescent="0.3">
      <c r="B1005" s="31">
        <v>998</v>
      </c>
      <c r="C1005" s="32">
        <v>43825</v>
      </c>
      <c r="D1005" s="33" t="s">
        <v>145</v>
      </c>
      <c r="E1005" s="34" t="s">
        <v>146</v>
      </c>
      <c r="F1005" s="31" t="s">
        <v>147</v>
      </c>
      <c r="G1005" s="31" t="s">
        <v>132</v>
      </c>
      <c r="H1005" s="35">
        <v>1621630</v>
      </c>
    </row>
    <row r="1006" spans="2:8" x14ac:dyDescent="0.3">
      <c r="B1006" s="31">
        <v>999</v>
      </c>
      <c r="C1006" s="32">
        <v>43808</v>
      </c>
      <c r="D1006" s="33" t="s">
        <v>133</v>
      </c>
      <c r="E1006" s="34" t="s">
        <v>134</v>
      </c>
      <c r="F1006" s="31" t="s">
        <v>147</v>
      </c>
      <c r="G1006" s="31" t="s">
        <v>125</v>
      </c>
      <c r="H1006" s="35">
        <v>1621630</v>
      </c>
    </row>
    <row r="1007" spans="2:8" x14ac:dyDescent="0.3">
      <c r="B1007" s="31">
        <v>1000</v>
      </c>
      <c r="C1007" s="32">
        <v>43826</v>
      </c>
      <c r="D1007" s="33" t="s">
        <v>154</v>
      </c>
      <c r="E1007" s="34" t="s">
        <v>155</v>
      </c>
      <c r="F1007" s="31" t="s">
        <v>144</v>
      </c>
      <c r="G1007" s="31" t="s">
        <v>158</v>
      </c>
      <c r="H1007" s="35">
        <v>1621630</v>
      </c>
    </row>
  </sheetData>
  <mergeCells count="4">
    <mergeCell ref="L8:M8"/>
    <mergeCell ref="L9:M9"/>
    <mergeCell ref="L10:M10"/>
    <mergeCell ref="L7:M7"/>
  </mergeCells>
  <phoneticPr fontId="2" type="noConversion"/>
  <dataValidations count="2">
    <dataValidation type="list" allowBlank="1" showInputMessage="1" showErrorMessage="1" sqref="L7" xr:uid="{B418E841-1D57-41B8-B45A-39E32780874C}">
      <formula1>"현대중공업㈜,에쓰오일㈜,삼성중공업㈜,㈜엘지상사,㈜포스코건설,㈜대우인터내셔널,현대모비스㈜,㈜포스코,삼성전자㈜,기아자동차㈜,현대자동차㈜,㈜대한항공,엘지전자㈜,지엠대우오토엔테크㈜,현대건설㈜,한국수력원자력㈜,한국가스공사,삼성물산㈜,한국가스공사,삼성물산㈜"</formula1>
    </dataValidation>
    <dataValidation type="list" allowBlank="1" showInputMessage="1" showErrorMessage="1" sqref="L8" xr:uid="{19F5BBCB-BD57-4ED8-8478-0525B1447279}">
      <formula1>"CM-200,AM-200,CM-100,AM-100,BM-200,BM-100"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751CA1-5DBA-4A90-9C6F-2F7826734BD4}">
  <sheetPr codeName="Sheet13">
    <tabColor rgb="FF0070C0"/>
  </sheetPr>
  <dimension ref="B1:E17"/>
  <sheetViews>
    <sheetView topLeftCell="A10" workbookViewId="0">
      <selection activeCell="E16" sqref="B2:E16"/>
    </sheetView>
  </sheetViews>
  <sheetFormatPr defaultRowHeight="16.5" x14ac:dyDescent="0.3"/>
  <cols>
    <col min="1" max="1" width="2.25" customWidth="1"/>
    <col min="2" max="2" width="12.375" bestFit="1" customWidth="1"/>
    <col min="3" max="3" width="42.125" customWidth="1"/>
    <col min="4" max="4" width="51.75" bestFit="1" customWidth="1"/>
    <col min="5" max="5" width="63.625" customWidth="1"/>
  </cols>
  <sheetData>
    <row r="1" spans="2:5" ht="17.25" thickBot="1" x14ac:dyDescent="0.35"/>
    <row r="2" spans="2:5" ht="30.75" customHeight="1" thickBot="1" x14ac:dyDescent="0.35">
      <c r="B2" s="47" t="s">
        <v>264</v>
      </c>
      <c r="C2" s="46" t="s">
        <v>176</v>
      </c>
      <c r="D2" s="46" t="s">
        <v>177</v>
      </c>
      <c r="E2" s="46" t="s">
        <v>178</v>
      </c>
    </row>
    <row r="3" spans="2:5" ht="30.75" customHeight="1" thickBot="1" x14ac:dyDescent="0.35">
      <c r="B3" s="107" t="s">
        <v>179</v>
      </c>
      <c r="C3" s="108" t="s">
        <v>180</v>
      </c>
      <c r="D3" s="48" t="s">
        <v>182</v>
      </c>
      <c r="E3" s="48" t="s">
        <v>183</v>
      </c>
    </row>
    <row r="4" spans="2:5" ht="30.75" customHeight="1" thickBot="1" x14ac:dyDescent="0.35">
      <c r="B4" s="107"/>
      <c r="C4" s="109"/>
      <c r="D4" s="49" t="s">
        <v>181</v>
      </c>
      <c r="E4" s="49" t="s">
        <v>184</v>
      </c>
    </row>
    <row r="5" spans="2:5" ht="30.75" customHeight="1" thickBot="1" x14ac:dyDescent="0.35">
      <c r="B5" s="107"/>
      <c r="C5" s="110"/>
      <c r="D5" s="50" t="s">
        <v>186</v>
      </c>
      <c r="E5" s="50" t="s">
        <v>187</v>
      </c>
    </row>
    <row r="6" spans="2:5" ht="30.75" customHeight="1" thickBot="1" x14ac:dyDescent="0.35">
      <c r="B6" s="107" t="s">
        <v>185</v>
      </c>
      <c r="C6" s="111" t="s">
        <v>193</v>
      </c>
      <c r="D6" s="103" t="s">
        <v>265</v>
      </c>
      <c r="E6" s="105" t="s">
        <v>193</v>
      </c>
    </row>
    <row r="7" spans="2:5" ht="30.75" customHeight="1" thickBot="1" x14ac:dyDescent="0.35">
      <c r="B7" s="107"/>
      <c r="C7" s="112"/>
      <c r="D7" s="104"/>
      <c r="E7" s="106"/>
    </row>
    <row r="8" spans="2:5" ht="30.75" customHeight="1" thickBot="1" x14ac:dyDescent="0.35">
      <c r="B8" s="107" t="s">
        <v>268</v>
      </c>
      <c r="C8" s="51" t="s">
        <v>194</v>
      </c>
      <c r="D8" s="48" t="s">
        <v>251</v>
      </c>
      <c r="E8" s="48" t="s">
        <v>255</v>
      </c>
    </row>
    <row r="9" spans="2:5" ht="30.75" customHeight="1" thickBot="1" x14ac:dyDescent="0.35">
      <c r="B9" s="107"/>
      <c r="C9" s="52" t="s">
        <v>248</v>
      </c>
      <c r="D9" s="49" t="s">
        <v>252</v>
      </c>
      <c r="E9" s="49" t="s">
        <v>256</v>
      </c>
    </row>
    <row r="10" spans="2:5" ht="30.75" customHeight="1" thickBot="1" x14ac:dyDescent="0.35">
      <c r="B10" s="107"/>
      <c r="C10" s="52" t="s">
        <v>247</v>
      </c>
      <c r="D10" s="49" t="s">
        <v>253</v>
      </c>
      <c r="E10" s="49" t="s">
        <v>257</v>
      </c>
    </row>
    <row r="11" spans="2:5" ht="30.75" customHeight="1" thickBot="1" x14ac:dyDescent="0.35">
      <c r="B11" s="107"/>
      <c r="C11" s="52" t="s">
        <v>249</v>
      </c>
      <c r="D11" s="49" t="s">
        <v>254</v>
      </c>
      <c r="E11" s="49" t="s">
        <v>258</v>
      </c>
    </row>
    <row r="12" spans="2:5" ht="30.75" customHeight="1" thickBot="1" x14ac:dyDescent="0.35">
      <c r="B12" s="107"/>
      <c r="C12" s="52" t="s">
        <v>250</v>
      </c>
      <c r="D12" s="49" t="s">
        <v>266</v>
      </c>
      <c r="E12" s="49" t="s">
        <v>259</v>
      </c>
    </row>
    <row r="13" spans="2:5" ht="30.75" customHeight="1" thickBot="1" x14ac:dyDescent="0.35">
      <c r="B13" s="107"/>
      <c r="C13" s="52"/>
      <c r="D13" s="49" t="s">
        <v>267</v>
      </c>
      <c r="E13" s="49" t="s">
        <v>260</v>
      </c>
    </row>
    <row r="14" spans="2:5" ht="30.75" customHeight="1" thickBot="1" x14ac:dyDescent="0.35">
      <c r="B14" s="107"/>
      <c r="C14" s="52"/>
      <c r="D14" s="49" t="s">
        <v>269</v>
      </c>
      <c r="E14" s="49" t="s">
        <v>261</v>
      </c>
    </row>
    <row r="15" spans="2:5" ht="30.75" customHeight="1" thickBot="1" x14ac:dyDescent="0.35">
      <c r="B15" s="107"/>
      <c r="C15" s="52"/>
      <c r="D15" s="49"/>
      <c r="E15" s="49" t="s">
        <v>262</v>
      </c>
    </row>
    <row r="16" spans="2:5" ht="30.75" customHeight="1" thickBot="1" x14ac:dyDescent="0.35">
      <c r="B16" s="107"/>
      <c r="C16" s="53"/>
      <c r="D16" s="50"/>
      <c r="E16" s="50" t="s">
        <v>263</v>
      </c>
    </row>
    <row r="17" spans="2:2" x14ac:dyDescent="0.3">
      <c r="B17" s="45"/>
    </row>
  </sheetData>
  <sortState xmlns:xlrd2="http://schemas.microsoft.com/office/spreadsheetml/2017/richdata2" ref="N8:N10">
    <sortCondition ref="N7"/>
  </sortState>
  <mergeCells count="7">
    <mergeCell ref="D6:D7"/>
    <mergeCell ref="E6:E7"/>
    <mergeCell ref="B3:B5"/>
    <mergeCell ref="B6:B7"/>
    <mergeCell ref="B8:B16"/>
    <mergeCell ref="C3:C5"/>
    <mergeCell ref="C6:C7"/>
  </mergeCells>
  <phoneticPr fontId="2" type="noConversion"/>
  <pageMargins left="0.7" right="0.7" top="0.75" bottom="0.75" header="0.3" footer="0.3"/>
  <pageSetup paperSize="9" orientation="portrait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28C51A-0086-413E-B4DC-6A9273EEA69E}">
  <sheetPr codeName="Sheet8"/>
  <dimension ref="A1:L10"/>
  <sheetViews>
    <sheetView workbookViewId="0">
      <selection activeCell="J11" sqref="J11"/>
    </sheetView>
  </sheetViews>
  <sheetFormatPr defaultRowHeight="16.5" x14ac:dyDescent="0.3"/>
  <cols>
    <col min="2" max="2" width="9.75" style="2" customWidth="1"/>
    <col min="5" max="7" width="11.125" bestFit="1" customWidth="1"/>
    <col min="16" max="16" width="11.125" bestFit="1" customWidth="1"/>
  </cols>
  <sheetData>
    <row r="1" spans="1:12" ht="27.75" customHeight="1" x14ac:dyDescent="0.3">
      <c r="A1" s="5" t="s">
        <v>0</v>
      </c>
      <c r="B1" s="6" t="s">
        <v>1</v>
      </c>
      <c r="C1" s="6" t="s">
        <v>2</v>
      </c>
      <c r="D1" s="6" t="s">
        <v>3</v>
      </c>
      <c r="E1" s="6" t="s">
        <v>4</v>
      </c>
      <c r="F1" s="6" t="s">
        <v>5</v>
      </c>
      <c r="G1" s="6" t="s">
        <v>6</v>
      </c>
      <c r="H1" s="6" t="s">
        <v>7</v>
      </c>
      <c r="I1" s="7" t="s">
        <v>8</v>
      </c>
      <c r="K1" s="18" t="s">
        <v>1</v>
      </c>
      <c r="L1" s="19" t="s">
        <v>109</v>
      </c>
    </row>
    <row r="2" spans="1:12" ht="27.75" customHeight="1" x14ac:dyDescent="0.3">
      <c r="A2" s="3" t="s">
        <v>9</v>
      </c>
      <c r="B2" s="3" t="s">
        <v>10</v>
      </c>
      <c r="C2" s="3" t="s">
        <v>11</v>
      </c>
      <c r="D2" s="3" t="s">
        <v>12</v>
      </c>
      <c r="E2" s="12">
        <v>42830</v>
      </c>
      <c r="F2" s="3">
        <v>97</v>
      </c>
      <c r="G2" s="3">
        <v>70</v>
      </c>
      <c r="H2" s="3">
        <v>167</v>
      </c>
      <c r="I2" s="3">
        <v>83.5</v>
      </c>
    </row>
    <row r="3" spans="1:12" ht="27.75" customHeight="1" x14ac:dyDescent="0.3">
      <c r="A3" s="3" t="s">
        <v>33</v>
      </c>
      <c r="B3" s="3" t="s">
        <v>10</v>
      </c>
      <c r="C3" s="3" t="s">
        <v>20</v>
      </c>
      <c r="D3" s="3" t="s">
        <v>15</v>
      </c>
      <c r="E3" s="12">
        <v>35786</v>
      </c>
      <c r="F3" s="3">
        <v>66</v>
      </c>
      <c r="G3" s="3">
        <v>91</v>
      </c>
      <c r="H3" s="3">
        <v>157</v>
      </c>
      <c r="I3" s="3">
        <v>78.5</v>
      </c>
    </row>
    <row r="4" spans="1:12" ht="27.75" customHeight="1" x14ac:dyDescent="0.3">
      <c r="A4" s="3" t="s">
        <v>37</v>
      </c>
      <c r="B4" s="3" t="s">
        <v>38</v>
      </c>
      <c r="C4" s="3" t="s">
        <v>20</v>
      </c>
      <c r="D4" s="3" t="s">
        <v>15</v>
      </c>
      <c r="E4" s="12">
        <v>35997</v>
      </c>
      <c r="F4" s="3">
        <v>80</v>
      </c>
      <c r="G4" s="3">
        <v>74</v>
      </c>
      <c r="H4" s="3">
        <v>154</v>
      </c>
      <c r="I4" s="3">
        <v>77</v>
      </c>
      <c r="K4" s="113" t="s">
        <v>104</v>
      </c>
      <c r="L4" t="s">
        <v>112</v>
      </c>
    </row>
    <row r="5" spans="1:12" ht="27.75" customHeight="1" x14ac:dyDescent="0.3">
      <c r="A5" s="3" t="s">
        <v>40</v>
      </c>
      <c r="B5" s="3" t="s">
        <v>10</v>
      </c>
      <c r="C5" s="3" t="s">
        <v>11</v>
      </c>
      <c r="D5" s="3" t="s">
        <v>15</v>
      </c>
      <c r="E5" s="12">
        <v>40869</v>
      </c>
      <c r="F5" s="3">
        <v>67</v>
      </c>
      <c r="G5" s="3">
        <v>67</v>
      </c>
      <c r="H5" s="3">
        <v>134</v>
      </c>
      <c r="I5" s="3">
        <v>67</v>
      </c>
      <c r="K5" s="113"/>
      <c r="L5" t="s">
        <v>105</v>
      </c>
    </row>
    <row r="6" spans="1:12" ht="27.75" customHeight="1" x14ac:dyDescent="0.3">
      <c r="A6" s="3" t="s">
        <v>41</v>
      </c>
      <c r="B6" s="3" t="s">
        <v>38</v>
      </c>
      <c r="C6" s="3" t="s">
        <v>35</v>
      </c>
      <c r="D6" s="3" t="s">
        <v>15</v>
      </c>
      <c r="E6" s="12">
        <v>37523</v>
      </c>
      <c r="F6" s="3">
        <v>70</v>
      </c>
      <c r="G6" s="3">
        <v>90</v>
      </c>
      <c r="H6" s="3">
        <v>160</v>
      </c>
      <c r="I6" s="3">
        <v>80</v>
      </c>
      <c r="K6" s="113"/>
      <c r="L6" t="s">
        <v>113</v>
      </c>
    </row>
    <row r="7" spans="1:12" ht="27.75" customHeight="1" x14ac:dyDescent="0.3">
      <c r="A7" s="3" t="s">
        <v>43</v>
      </c>
      <c r="B7" s="3" t="s">
        <v>10</v>
      </c>
      <c r="C7" s="3" t="s">
        <v>31</v>
      </c>
      <c r="D7" s="3" t="s">
        <v>12</v>
      </c>
      <c r="E7" s="12">
        <v>35613</v>
      </c>
      <c r="F7" s="3">
        <v>72</v>
      </c>
      <c r="G7" s="3">
        <v>91</v>
      </c>
      <c r="H7" s="3">
        <v>163</v>
      </c>
      <c r="I7" s="3">
        <v>81.5</v>
      </c>
      <c r="K7" t="s">
        <v>106</v>
      </c>
      <c r="L7" t="s">
        <v>107</v>
      </c>
    </row>
    <row r="8" spans="1:12" ht="27.75" customHeight="1" x14ac:dyDescent="0.3">
      <c r="A8" s="3" t="s">
        <v>46</v>
      </c>
      <c r="B8" s="3" t="s">
        <v>38</v>
      </c>
      <c r="C8" s="3" t="s">
        <v>11</v>
      </c>
      <c r="D8" s="3" t="s">
        <v>15</v>
      </c>
      <c r="E8" s="12">
        <v>41278</v>
      </c>
      <c r="F8" s="3">
        <v>91</v>
      </c>
      <c r="G8" s="3">
        <v>60</v>
      </c>
      <c r="H8" s="3">
        <v>151</v>
      </c>
      <c r="I8" s="3">
        <v>75.5</v>
      </c>
      <c r="L8" t="s">
        <v>111</v>
      </c>
    </row>
    <row r="9" spans="1:12" ht="27.75" customHeight="1" x14ac:dyDescent="0.3">
      <c r="A9" s="3" t="s">
        <v>61</v>
      </c>
      <c r="B9" s="3" t="s">
        <v>38</v>
      </c>
      <c r="C9" s="3" t="s">
        <v>23</v>
      </c>
      <c r="D9" s="3" t="s">
        <v>15</v>
      </c>
      <c r="E9" s="12">
        <v>40788</v>
      </c>
      <c r="F9" s="3">
        <v>67</v>
      </c>
      <c r="G9" s="3">
        <v>60</v>
      </c>
      <c r="H9" s="3">
        <v>127</v>
      </c>
      <c r="I9" s="3">
        <v>63.5</v>
      </c>
      <c r="L9" t="s">
        <v>110</v>
      </c>
    </row>
    <row r="10" spans="1:12" ht="27.75" customHeight="1" x14ac:dyDescent="0.3">
      <c r="A10" s="4" t="s">
        <v>62</v>
      </c>
      <c r="B10" s="4" t="s">
        <v>10</v>
      </c>
      <c r="C10" s="4" t="s">
        <v>35</v>
      </c>
      <c r="D10" s="4" t="s">
        <v>12</v>
      </c>
      <c r="E10" s="13">
        <v>38660</v>
      </c>
      <c r="F10" s="4">
        <v>88</v>
      </c>
      <c r="G10" s="4">
        <v>74</v>
      </c>
      <c r="H10" s="4">
        <v>162</v>
      </c>
      <c r="I10" s="4">
        <v>81</v>
      </c>
      <c r="L10" t="s">
        <v>108</v>
      </c>
    </row>
  </sheetData>
  <mergeCells count="1">
    <mergeCell ref="K4:K6"/>
  </mergeCells>
  <phoneticPr fontId="2" type="noConversion"/>
  <pageMargins left="0.7" right="0.7" top="0.75" bottom="0.75" header="0.3" footer="0.3"/>
  <pageSetup paperSize="9" orientation="portrait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15</vt:i4>
      </vt:variant>
      <vt:variant>
        <vt:lpstr>이름 지정된 범위</vt:lpstr>
      </vt:variant>
      <vt:variant>
        <vt:i4>6</vt:i4>
      </vt:variant>
    </vt:vector>
  </HeadingPairs>
  <TitlesOfParts>
    <vt:vector size="21" baseType="lpstr">
      <vt:lpstr>자동필터</vt:lpstr>
      <vt:lpstr>개요</vt:lpstr>
      <vt:lpstr>Filter함수_조건1개</vt:lpstr>
      <vt:lpstr>Unique함수</vt:lpstr>
      <vt:lpstr>Filter함수_조건1개 (2)</vt:lpstr>
      <vt:lpstr>필드가 많을때</vt:lpstr>
      <vt:lpstr>피벗테이블</vt:lpstr>
      <vt:lpstr>Filter함수_필요한열만</vt:lpstr>
      <vt:lpstr>Filter함수_조건2개</vt:lpstr>
      <vt:lpstr>Filter함수_조건응용</vt:lpstr>
      <vt:lpstr>Filter함수_Sort함수함께사용</vt:lpstr>
      <vt:lpstr>고급필터&amp;매크로_조건1개</vt:lpstr>
      <vt:lpstr>고급필터&amp;매크로_조건2개</vt:lpstr>
      <vt:lpstr>Sheet1</vt:lpstr>
      <vt:lpstr>인수설명</vt:lpstr>
      <vt:lpstr>'고급필터&amp;매크로_조건1개'!Criteria</vt:lpstr>
      <vt:lpstr>'고급필터&amp;매크로_조건2개'!Criteria</vt:lpstr>
      <vt:lpstr>'고급필터&amp;매크로_조건1개'!Extract</vt:lpstr>
      <vt:lpstr>'고급필터&amp;매크로_조건2개'!Extract</vt:lpstr>
      <vt:lpstr>고급필터조건</vt:lpstr>
      <vt:lpstr>고급필터조건2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엑셀 레이터</cp:lastModifiedBy>
  <cp:lastPrinted>2020-06-11T14:50:54Z</cp:lastPrinted>
  <dcterms:created xsi:type="dcterms:W3CDTF">2020-06-11T07:42:03Z</dcterms:created>
  <dcterms:modified xsi:type="dcterms:W3CDTF">2020-07-10T07:38:45Z</dcterms:modified>
</cp:coreProperties>
</file>