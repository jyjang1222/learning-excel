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ig07\Desktop\"/>
    </mc:Choice>
  </mc:AlternateContent>
  <xr:revisionPtr revIDLastSave="0" documentId="13_ncr:1_{21799D6C-346C-4A8A-99E0-28A543DE7391}" xr6:coauthVersionLast="33" xr6:coauthVersionMax="33" xr10:uidLastSave="{00000000-0000-0000-0000-000000000000}"/>
  <bookViews>
    <workbookView xWindow="0" yWindow="0" windowWidth="19200" windowHeight="8880" activeTab="2" xr2:uid="{60306F25-469F-4BEA-B084-BD765348ED78}"/>
  </bookViews>
  <sheets>
    <sheet name="OFFSET" sheetId="1" r:id="rId1"/>
    <sheet name="사원명부" sheetId="2" r:id="rId2"/>
    <sheet name="사원명부_필터링" sheetId="4" r:id="rId3"/>
    <sheet name="근로계약서" sheetId="3" r:id="rId4"/>
  </sheets>
  <definedNames>
    <definedName name="_xlnm._FilterDatabase" localSheetId="1" hidden="1">사원명부!$B$4:$M$80</definedName>
    <definedName name="_xlnm.Criteria" localSheetId="2">사원명부_필터링!$O$2:$O$3</definedName>
    <definedName name="_xlnm.Extract" localSheetId="2">사원명부_필터링!$B$2:$M$2</definedName>
    <definedName name="사원명부전체">사원명부!$B$4:$M$80</definedName>
    <definedName name="필터조건">사원명부_필터링!$O$2:$O$3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3" l="1"/>
  <c r="F30" i="3"/>
  <c r="F8" i="3"/>
  <c r="D8" i="3"/>
  <c r="F7" i="3"/>
</calcChain>
</file>

<file path=xl/sharedStrings.xml><?xml version="1.0" encoding="utf-8"?>
<sst xmlns="http://schemas.openxmlformats.org/spreadsheetml/2006/main" count="665" uniqueCount="329">
  <si>
    <t>데이터</t>
    <phoneticPr fontId="2" type="noConversion"/>
  </si>
  <si>
    <t>ABC주식회사 사원명부</t>
  </si>
  <si>
    <t>성명</t>
  </si>
  <si>
    <t>소속</t>
  </si>
  <si>
    <t>직위</t>
  </si>
  <si>
    <t>성별</t>
  </si>
  <si>
    <t>주민등록번호</t>
  </si>
  <si>
    <t>생년월일</t>
  </si>
  <si>
    <t>나이</t>
  </si>
  <si>
    <t>주소</t>
  </si>
  <si>
    <t>입사일자</t>
  </si>
  <si>
    <t>연락처</t>
  </si>
  <si>
    <t>기본급여</t>
  </si>
  <si>
    <t>차량유지비</t>
  </si>
  <si>
    <t>강감찬</t>
  </si>
  <si>
    <t>구매팀</t>
  </si>
  <si>
    <t>사원</t>
  </si>
  <si>
    <t>남</t>
  </si>
  <si>
    <t>900811-1******</t>
  </si>
  <si>
    <t>서울시 영등포구</t>
  </si>
  <si>
    <t>010-800*-1656</t>
  </si>
  <si>
    <t>계백</t>
  </si>
  <si>
    <t>기획팀</t>
  </si>
  <si>
    <t>여</t>
  </si>
  <si>
    <t>831019-2******</t>
  </si>
  <si>
    <t>서울시 광진구</t>
  </si>
  <si>
    <t>010-944*-2804</t>
  </si>
  <si>
    <t>곽재우</t>
  </si>
  <si>
    <t>생산관리팀</t>
  </si>
  <si>
    <t>850603-1******</t>
  </si>
  <si>
    <t>서울시 도봉구</t>
  </si>
  <si>
    <t>010-302*-7620</t>
  </si>
  <si>
    <t>관창</t>
  </si>
  <si>
    <t>870530-2******</t>
  </si>
  <si>
    <t>서울시 동작구</t>
  </si>
  <si>
    <t>010-650*-9005</t>
  </si>
  <si>
    <t>광개토</t>
  </si>
  <si>
    <t>부장</t>
  </si>
  <si>
    <t>710503-1******</t>
  </si>
  <si>
    <t>서울시 강북구</t>
  </si>
  <si>
    <t>010-392*-2286</t>
  </si>
  <si>
    <t>권율</t>
  </si>
  <si>
    <t>영업1팀</t>
  </si>
  <si>
    <t>대리</t>
  </si>
  <si>
    <t>810723-1******</t>
  </si>
  <si>
    <t>서울시 송파구</t>
  </si>
  <si>
    <t>010-315*-3108</t>
  </si>
  <si>
    <t>김대건</t>
  </si>
  <si>
    <t>경영정보팀</t>
  </si>
  <si>
    <t>880801-1******</t>
  </si>
  <si>
    <t>010-361*-6639</t>
  </si>
  <si>
    <t>김두한</t>
  </si>
  <si>
    <t>영업2팀</t>
  </si>
  <si>
    <t>901230-2******</t>
  </si>
  <si>
    <t>010-026*-3054</t>
  </si>
  <si>
    <t>김부식</t>
  </si>
  <si>
    <t>개발팀</t>
  </si>
  <si>
    <t>690214-1******</t>
  </si>
  <si>
    <t>010-347*-6655</t>
  </si>
  <si>
    <t>김삿갓</t>
  </si>
  <si>
    <t>차장</t>
  </si>
  <si>
    <t>741226-2******</t>
  </si>
  <si>
    <t>서울시 양천구</t>
  </si>
  <si>
    <t>010-761*-6656</t>
  </si>
  <si>
    <t>김옥균</t>
  </si>
  <si>
    <t>831008-2******</t>
  </si>
  <si>
    <t>010-745*-0005</t>
  </si>
  <si>
    <t>김유신</t>
  </si>
  <si>
    <t>720916-2******</t>
  </si>
  <si>
    <t>서울시 관악구</t>
  </si>
  <si>
    <t>010-066*-4247</t>
  </si>
  <si>
    <t>김정호</t>
  </si>
  <si>
    <t>과장</t>
  </si>
  <si>
    <t>740903-1******</t>
  </si>
  <si>
    <t>서울시 용산구</t>
  </si>
  <si>
    <t>010-265*-6025</t>
  </si>
  <si>
    <t>논개</t>
  </si>
  <si>
    <t>800722-2******</t>
  </si>
  <si>
    <t>010-323*-2452</t>
  </si>
  <si>
    <t>단군</t>
  </si>
  <si>
    <t>총무팀</t>
  </si>
  <si>
    <t>721218-2******</t>
  </si>
  <si>
    <t>서울시 강남구</t>
  </si>
  <si>
    <t>010-402*-5525</t>
  </si>
  <si>
    <t>단원</t>
  </si>
  <si>
    <t>740606-1******</t>
  </si>
  <si>
    <t>010-827*-9945</t>
  </si>
  <si>
    <t>대조영</t>
  </si>
  <si>
    <t>840516-2******</t>
  </si>
  <si>
    <t>서울시 은평구</t>
  </si>
  <si>
    <t>010-930*-3088</t>
  </si>
  <si>
    <t>동명왕</t>
  </si>
  <si>
    <t>770529-2******</t>
  </si>
  <si>
    <t>010-227*-1561</t>
  </si>
  <si>
    <t>맹사성</t>
  </si>
  <si>
    <t>700422-1******</t>
  </si>
  <si>
    <t>서울시 서초구</t>
  </si>
  <si>
    <t>010-960*-6183</t>
  </si>
  <si>
    <t>문무왕</t>
  </si>
  <si>
    <t>720719-1******</t>
  </si>
  <si>
    <t>010-220*-0117</t>
  </si>
  <si>
    <t>문익점</t>
  </si>
  <si>
    <t>740611-1******</t>
  </si>
  <si>
    <t>010-444*-8951</t>
  </si>
  <si>
    <t>박문수</t>
  </si>
  <si>
    <t>851223-1******</t>
  </si>
  <si>
    <t>010-077*-6098</t>
  </si>
  <si>
    <t>박혁거세</t>
  </si>
  <si>
    <t>860602-2******</t>
  </si>
  <si>
    <t>010-940*-9567</t>
  </si>
  <si>
    <t>방정환</t>
  </si>
  <si>
    <t>840513-2******</t>
  </si>
  <si>
    <t>010-331*-5030</t>
  </si>
  <si>
    <t>백결</t>
  </si>
  <si>
    <t>780415-1******</t>
  </si>
  <si>
    <t>010-553*-0631</t>
  </si>
  <si>
    <t>사육신</t>
  </si>
  <si>
    <t>740605-2******</t>
  </si>
  <si>
    <t>010-078*-7047</t>
  </si>
  <si>
    <t>삼학사</t>
  </si>
  <si>
    <t>870613-1******</t>
  </si>
  <si>
    <t>010-343*-5565</t>
  </si>
  <si>
    <t>생육신</t>
  </si>
  <si>
    <t>770121-1******</t>
  </si>
  <si>
    <t>010-638*-7522</t>
  </si>
  <si>
    <t>서희</t>
  </si>
  <si>
    <t>운영팀</t>
  </si>
  <si>
    <t>711013-2******</t>
  </si>
  <si>
    <t>010-672*-6433</t>
  </si>
  <si>
    <t>손병희</t>
  </si>
  <si>
    <t>791205-1******</t>
  </si>
  <si>
    <t>010-145*-1457</t>
  </si>
  <si>
    <t>신사임당</t>
  </si>
  <si>
    <t>840417-1******</t>
  </si>
  <si>
    <t>010-521*-8465</t>
  </si>
  <si>
    <t>신숙주</t>
  </si>
  <si>
    <t>801104-2******</t>
  </si>
  <si>
    <t>010-534*-5486</t>
  </si>
  <si>
    <t>안중근</t>
  </si>
  <si>
    <t>690205-1******</t>
  </si>
  <si>
    <t>010-437*-6894</t>
  </si>
  <si>
    <t>안창호</t>
  </si>
  <si>
    <t>810523-2******</t>
  </si>
  <si>
    <t>010-689*-9690</t>
  </si>
  <si>
    <t>영조</t>
  </si>
  <si>
    <t>740824-1******</t>
  </si>
  <si>
    <t>010-660*-0014</t>
  </si>
  <si>
    <t>오세재</t>
  </si>
  <si>
    <t>860321-1******</t>
  </si>
  <si>
    <t>010-647*-3912</t>
  </si>
  <si>
    <t>온조왕</t>
  </si>
  <si>
    <t>840409-2******</t>
  </si>
  <si>
    <t>010-539*-8321</t>
  </si>
  <si>
    <t>원효</t>
  </si>
  <si>
    <t>790704-1******</t>
  </si>
  <si>
    <t>010-660*-8357</t>
  </si>
  <si>
    <t>유관순</t>
  </si>
  <si>
    <t>810405-1******</t>
  </si>
  <si>
    <t>010-317*-0033</t>
  </si>
  <si>
    <t>윤동주</t>
  </si>
  <si>
    <t>721202-1******</t>
  </si>
  <si>
    <t>010-349*-7920</t>
  </si>
  <si>
    <t>의자왕</t>
  </si>
  <si>
    <t>790828-1******</t>
  </si>
  <si>
    <t>010-818*-1925</t>
  </si>
  <si>
    <t>의천</t>
  </si>
  <si>
    <t>850719-1******</t>
  </si>
  <si>
    <t>010-855*-7032</t>
  </si>
  <si>
    <t>이담지</t>
  </si>
  <si>
    <t>홍보팀</t>
  </si>
  <si>
    <t>821130-2******</t>
  </si>
  <si>
    <t>010-401*-7032</t>
  </si>
  <si>
    <t>이사부</t>
  </si>
  <si>
    <t>710502-2******</t>
  </si>
  <si>
    <t>010-032*-2857</t>
  </si>
  <si>
    <t>이상</t>
  </si>
  <si>
    <t>831013-1******</t>
  </si>
  <si>
    <t>010-767*-2889</t>
  </si>
  <si>
    <t>이수일</t>
  </si>
  <si>
    <t>880619-2******</t>
  </si>
  <si>
    <t>서울시 서대문구</t>
  </si>
  <si>
    <t>010-302*-9658</t>
  </si>
  <si>
    <t>이순신</t>
  </si>
  <si>
    <t>840503-1******</t>
  </si>
  <si>
    <t>서울시 금천구</t>
  </si>
  <si>
    <t>010-573*-7868</t>
  </si>
  <si>
    <t>이완용</t>
  </si>
  <si>
    <t>750128-1******</t>
  </si>
  <si>
    <t>010-777*-5075</t>
  </si>
  <si>
    <t>이율곡</t>
  </si>
  <si>
    <t>761220-1******</t>
  </si>
  <si>
    <t>010-943*-7739</t>
  </si>
  <si>
    <t>이인로</t>
  </si>
  <si>
    <t>910528-2******</t>
  </si>
  <si>
    <t>010-749*-0268</t>
  </si>
  <si>
    <t>이중섭</t>
  </si>
  <si>
    <t>900422-2******</t>
  </si>
  <si>
    <t>010-920*-4503</t>
  </si>
  <si>
    <t>이퇴계</t>
  </si>
  <si>
    <t>810612-1******</t>
  </si>
  <si>
    <t>010-875*-9222</t>
  </si>
  <si>
    <t>일연</t>
  </si>
  <si>
    <t>830811-1******</t>
  </si>
  <si>
    <t>010-673*-1622</t>
  </si>
  <si>
    <t>임꺽정</t>
  </si>
  <si>
    <t>830118-1******</t>
  </si>
  <si>
    <t>010-620*-4497</t>
  </si>
  <si>
    <t>임춘</t>
  </si>
  <si>
    <t>831203-1******</t>
  </si>
  <si>
    <t>010-495*-6148</t>
  </si>
  <si>
    <t>장보고</t>
  </si>
  <si>
    <t>780501-1******</t>
  </si>
  <si>
    <t>010-674*-1883</t>
  </si>
  <si>
    <t>장영실</t>
  </si>
  <si>
    <t>730214-1******</t>
  </si>
  <si>
    <t>010-143*-8366</t>
  </si>
  <si>
    <t>전봉준</t>
  </si>
  <si>
    <t>830125-1******</t>
  </si>
  <si>
    <t>010-475*-4850</t>
  </si>
  <si>
    <t>정약용</t>
  </si>
  <si>
    <t>831008-1******</t>
  </si>
  <si>
    <t>010-890*-9216</t>
  </si>
  <si>
    <t>정조</t>
  </si>
  <si>
    <t>860327-1******</t>
  </si>
  <si>
    <t>010-022*-8386</t>
  </si>
  <si>
    <t>정중부</t>
  </si>
  <si>
    <t>721017-2******</t>
  </si>
  <si>
    <t>010-954*-8106</t>
  </si>
  <si>
    <t>조통</t>
  </si>
  <si>
    <t>720206-1******</t>
  </si>
  <si>
    <t>010-484*-8435</t>
  </si>
  <si>
    <t>지석영</t>
  </si>
  <si>
    <t>811016-1******</t>
  </si>
  <si>
    <t>010-916*-5709</t>
  </si>
  <si>
    <t>최무선</t>
  </si>
  <si>
    <t>791007-2******</t>
  </si>
  <si>
    <t>010-459*-7179</t>
  </si>
  <si>
    <t>최영</t>
  </si>
  <si>
    <t>860129-2******</t>
  </si>
  <si>
    <t>010-608*-0687</t>
  </si>
  <si>
    <t>최충</t>
  </si>
  <si>
    <t>790330-1******</t>
  </si>
  <si>
    <t>010-640*-5411</t>
  </si>
  <si>
    <t>태조</t>
  </si>
  <si>
    <t>710912-1******</t>
  </si>
  <si>
    <t>서울시 성북구</t>
  </si>
  <si>
    <t>010-686*-1171</t>
  </si>
  <si>
    <t>한석봉</t>
  </si>
  <si>
    <t>710216-1******</t>
  </si>
  <si>
    <t>010-796*-2864</t>
  </si>
  <si>
    <t>함순</t>
  </si>
  <si>
    <t>860130-1******</t>
  </si>
  <si>
    <t>010-570*-0890</t>
  </si>
  <si>
    <t>혜초</t>
  </si>
  <si>
    <t>800706-1******</t>
  </si>
  <si>
    <t>010-142*-8732</t>
  </si>
  <si>
    <t>홍경래</t>
  </si>
  <si>
    <t>881204-1******</t>
  </si>
  <si>
    <t>서울시 강동구</t>
  </si>
  <si>
    <t>010-603*-6348</t>
  </si>
  <si>
    <t>홍길동</t>
  </si>
  <si>
    <t>811115-1******</t>
  </si>
  <si>
    <t>010-610*-9575</t>
  </si>
  <si>
    <t>홍익한</t>
  </si>
  <si>
    <t>860707-1******</t>
  </si>
  <si>
    <t>서울시 성동구</t>
  </si>
  <si>
    <t>010-926*-3393</t>
  </si>
  <si>
    <t>황보항</t>
  </si>
  <si>
    <t>761227-1******</t>
  </si>
  <si>
    <t>010-266*-4794</t>
  </si>
  <si>
    <t>황진이</t>
  </si>
  <si>
    <t>900103-1******</t>
  </si>
  <si>
    <t>010-007*-6561</t>
  </si>
  <si>
    <t>황희</t>
  </si>
  <si>
    <t>900713-2******</t>
  </si>
  <si>
    <t>010-455*-4344</t>
  </si>
  <si>
    <t>근로계약서</t>
    <phoneticPr fontId="6" type="noConversion"/>
  </si>
  <si>
    <t xml:space="preserve"> 1. 양 당사자</t>
    <phoneticPr fontId="6" type="noConversion"/>
  </si>
  <si>
    <t>사업주</t>
    <phoneticPr fontId="2" type="noConversion"/>
  </si>
  <si>
    <t>성명</t>
    <phoneticPr fontId="2" type="noConversion"/>
  </si>
  <si>
    <t>홍길동</t>
    <phoneticPr fontId="2" type="noConversion"/>
  </si>
  <si>
    <t>사업장
등록번호</t>
    <phoneticPr fontId="2" type="noConversion"/>
  </si>
  <si>
    <t>업체명</t>
    <phoneticPr fontId="6" type="noConversion"/>
  </si>
  <si>
    <t>ABC주식회사</t>
    <phoneticPr fontId="2" type="noConversion"/>
  </si>
  <si>
    <t>전화번호</t>
    <phoneticPr fontId="2" type="noConversion"/>
  </si>
  <si>
    <t>02)1234-1234</t>
    <phoneticPr fontId="2" type="noConversion"/>
  </si>
  <si>
    <t>소재지</t>
    <phoneticPr fontId="2" type="noConversion"/>
  </si>
  <si>
    <t>서울특별시 서초구</t>
    <phoneticPr fontId="2" type="noConversion"/>
  </si>
  <si>
    <t>근로자</t>
    <phoneticPr fontId="2" type="noConversion"/>
  </si>
  <si>
    <t>생년월일</t>
    <phoneticPr fontId="2" type="noConversion"/>
  </si>
  <si>
    <t>주소</t>
    <phoneticPr fontId="6" type="noConversion"/>
  </si>
  <si>
    <t>주민등록번호</t>
    <phoneticPr fontId="2" type="noConversion"/>
  </si>
  <si>
    <t>2. 소정근로시간</t>
    <phoneticPr fontId="6" type="noConversion"/>
  </si>
  <si>
    <t>근무일/휴일</t>
    <phoneticPr fontId="2" type="noConversion"/>
  </si>
  <si>
    <t>월요일 ~ 금요일까지</t>
    <phoneticPr fontId="2" type="noConversion"/>
  </si>
  <si>
    <t>근무시간</t>
    <phoneticPr fontId="2" type="noConversion"/>
  </si>
  <si>
    <t>09:00 ~ 18:00</t>
    <phoneticPr fontId="2" type="noConversion"/>
  </si>
  <si>
    <t>점심시간</t>
    <phoneticPr fontId="2" type="noConversion"/>
  </si>
  <si>
    <t>13:00 ~ 14:00</t>
    <phoneticPr fontId="2" type="noConversion"/>
  </si>
  <si>
    <t>야근시 저녁시간</t>
    <phoneticPr fontId="2" type="noConversion"/>
  </si>
  <si>
    <t>18:00 ~ 18:40</t>
    <phoneticPr fontId="2" type="noConversion"/>
  </si>
  <si>
    <t xml:space="preserve"> 3. 임금</t>
    <phoneticPr fontId="2" type="noConversion"/>
  </si>
  <si>
    <t>기본급여</t>
    <phoneticPr fontId="2" type="noConversion"/>
  </si>
  <si>
    <t>임금지급일</t>
    <phoneticPr fontId="2" type="noConversion"/>
  </si>
  <si>
    <t>익월 10일 지급</t>
    <phoneticPr fontId="2" type="noConversion"/>
  </si>
  <si>
    <t>교통비</t>
    <phoneticPr fontId="2" type="noConversion"/>
  </si>
  <si>
    <t>식대</t>
    <phoneticPr fontId="2" type="noConversion"/>
  </si>
  <si>
    <t>상여금</t>
    <phoneticPr fontId="2" type="noConversion"/>
  </si>
  <si>
    <t>구정, 추석, 하계휴가, 연말 총 4차례 기본급여의 50%씩 지급 (총200%)</t>
    <phoneticPr fontId="2" type="noConversion"/>
  </si>
  <si>
    <t>시간외 수당</t>
    <phoneticPr fontId="2" type="noConversion"/>
  </si>
  <si>
    <t>평일</t>
    <phoneticPr fontId="2" type="noConversion"/>
  </si>
  <si>
    <t>18:40 이후부터 30분 단위로 계산하여 회사내규의 직급에
따른 표준시간당 임금의 150% 지급</t>
    <phoneticPr fontId="2" type="noConversion"/>
  </si>
  <si>
    <t>기타</t>
    <phoneticPr fontId="2" type="noConversion"/>
  </si>
  <si>
    <t>표준시간당 임금의 150% 이외 교통비와 식사비 지급</t>
    <phoneticPr fontId="2" type="noConversion"/>
  </si>
  <si>
    <t>퇴직금</t>
    <phoneticPr fontId="2" type="noConversion"/>
  </si>
  <si>
    <t>금액</t>
    <phoneticPr fontId="2" type="noConversion"/>
  </si>
  <si>
    <t xml:space="preserve">근로기준법에 의거 </t>
    <phoneticPr fontId="2" type="noConversion"/>
  </si>
  <si>
    <t>지급방법</t>
    <phoneticPr fontId="2" type="noConversion"/>
  </si>
  <si>
    <t>매년 연말에 지급</t>
  </si>
  <si>
    <t>사업주와 근로자간 협의에 의한 지정통장에만 입금</t>
    <phoneticPr fontId="2" type="noConversion"/>
  </si>
  <si>
    <t>입금통장</t>
    <phoneticPr fontId="2" type="noConversion"/>
  </si>
  <si>
    <t>4. 기타</t>
    <phoneticPr fontId="6" type="noConversion"/>
  </si>
  <si>
    <t>근무장소</t>
    <phoneticPr fontId="2" type="noConversion"/>
  </si>
  <si>
    <t>연차유급휴가</t>
    <phoneticPr fontId="2" type="noConversion"/>
  </si>
  <si>
    <t>근로기준법에 정하는 바에 따라 부여함</t>
    <phoneticPr fontId="2" type="noConversion"/>
  </si>
  <si>
    <t>이 계약에 정함이 없는 사항은 근로기준법령에 의함.</t>
    <phoneticPr fontId="2" type="noConversion"/>
  </si>
  <si>
    <t>년           월           일</t>
    <phoneticPr fontId="2" type="noConversion"/>
  </si>
  <si>
    <t xml:space="preserve">사 업 주 : </t>
    <phoneticPr fontId="2" type="noConversion"/>
  </si>
  <si>
    <t xml:space="preserve">근 로 자 :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</si>
</sst>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&quot;월 &quot;#,##0&quot;원&quot;"/>
    <numFmt numFmtId="177" formatCode="#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4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2" fontId="4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/>
    </xf>
    <xf numFmtId="0" fontId="5" fillId="0" borderId="0" xfId="2" applyNumberFormat="1" applyFont="1" applyBorder="1" applyAlignment="1">
      <alignment horizontal="center" vertical="center"/>
    </xf>
    <xf numFmtId="0" fontId="8" fillId="3" borderId="1" xfId="2" applyNumberFormat="1" applyFont="1" applyFill="1" applyBorder="1" applyAlignment="1">
      <alignment horizontal="distributed" vertical="center" indent="1"/>
    </xf>
    <xf numFmtId="0" fontId="9" fillId="0" borderId="1" xfId="3" applyNumberFormat="1" applyFont="1" applyBorder="1" applyAlignment="1">
      <alignment horizontal="center" vertical="center"/>
    </xf>
    <xf numFmtId="0" fontId="10" fillId="3" borderId="1" xfId="3" applyNumberFormat="1" applyFont="1" applyFill="1" applyBorder="1" applyAlignment="1">
      <alignment horizontal="distributed" vertical="center" wrapText="1" indent="1"/>
    </xf>
    <xf numFmtId="0" fontId="9" fillId="3" borderId="1" xfId="3" applyNumberFormat="1" applyFont="1" applyFill="1" applyBorder="1" applyAlignment="1">
      <alignment horizontal="distributed" vertical="center" indent="1"/>
    </xf>
    <xf numFmtId="14" fontId="9" fillId="0" borderId="1" xfId="3" applyNumberFormat="1" applyFont="1" applyBorder="1" applyAlignment="1">
      <alignment horizontal="center" vertical="center"/>
    </xf>
    <xf numFmtId="0" fontId="11" fillId="3" borderId="1" xfId="3" applyNumberFormat="1" applyFont="1" applyFill="1" applyBorder="1" applyAlignment="1">
      <alignment horizontal="distributed" vertical="center" indent="1"/>
    </xf>
    <xf numFmtId="0" fontId="0" fillId="2" borderId="1" xfId="0" applyFill="1" applyBorder="1" applyAlignment="1">
      <alignment horizontal="distributed" vertical="center" inden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2" fillId="2" borderId="1" xfId="0" applyFont="1" applyFill="1" applyBorder="1" applyAlignment="1">
      <alignment horizontal="distributed" vertical="center" indent="1"/>
    </xf>
    <xf numFmtId="0" fontId="0" fillId="0" borderId="0" xfId="0" applyBorder="1" applyAlignment="1">
      <alignment vertical="center"/>
    </xf>
    <xf numFmtId="0" fontId="8" fillId="2" borderId="1" xfId="2" applyNumberFormat="1" applyFont="1" applyFill="1" applyBorder="1" applyAlignment="1">
      <alignment horizontal="distributed" vertical="center" indent="1"/>
    </xf>
    <xf numFmtId="176" fontId="8" fillId="0" borderId="1" xfId="2" applyNumberFormat="1" applyFont="1" applyBorder="1" applyAlignment="1">
      <alignment horizontal="center" vertical="center"/>
    </xf>
    <xf numFmtId="0" fontId="8" fillId="0" borderId="1" xfId="2" applyNumberFormat="1" applyFont="1" applyBorder="1" applyAlignment="1">
      <alignment horizontal="center" vertical="center"/>
    </xf>
    <xf numFmtId="176" fontId="8" fillId="2" borderId="1" xfId="2" applyNumberFormat="1" applyFont="1" applyFill="1" applyBorder="1" applyAlignment="1">
      <alignment horizontal="distributed" vertical="center" indent="1"/>
    </xf>
    <xf numFmtId="0" fontId="8" fillId="0" borderId="0" xfId="2" applyNumberFormat="1" applyFont="1" applyBorder="1" applyAlignment="1">
      <alignment vertical="center"/>
    </xf>
    <xf numFmtId="176" fontId="8" fillId="0" borderId="0" xfId="2" applyNumberFormat="1" applyFont="1" applyBorder="1" applyAlignment="1">
      <alignment horizontal="left" vertical="center"/>
    </xf>
    <xf numFmtId="0" fontId="14" fillId="2" borderId="1" xfId="2" applyNumberFormat="1" applyFont="1" applyFill="1" applyBorder="1" applyAlignment="1">
      <alignment horizontal="distributed" vertical="center" indent="1"/>
    </xf>
    <xf numFmtId="0" fontId="8" fillId="0" borderId="0" xfId="2" applyNumberFormat="1" applyFont="1" applyBorder="1" applyAlignment="1">
      <alignment horizontal="center" vertical="center"/>
    </xf>
    <xf numFmtId="0" fontId="8" fillId="0" borderId="0" xfId="2" applyNumberFormat="1" applyFont="1" applyBorder="1" applyAlignment="1">
      <alignment horizontal="right" vertical="center"/>
    </xf>
    <xf numFmtId="177" fontId="8" fillId="0" borderId="0" xfId="2" applyNumberFormat="1" applyFont="1" applyBorder="1" applyAlignment="1">
      <alignment horizontal="left" vertical="center"/>
    </xf>
    <xf numFmtId="0" fontId="8" fillId="0" borderId="0" xfId="2" applyFont="1" applyAlignment="1">
      <alignment vertical="center"/>
    </xf>
    <xf numFmtId="0" fontId="3" fillId="0" borderId="0" xfId="0" applyFont="1" applyAlignment="1">
      <alignment horizontal="center" vertical="center"/>
    </xf>
    <xf numFmtId="176" fontId="8" fillId="0" borderId="1" xfId="2" applyNumberFormat="1" applyFont="1" applyBorder="1" applyAlignment="1">
      <alignment horizontal="center" vertical="center"/>
    </xf>
    <xf numFmtId="0" fontId="8" fillId="0" borderId="1" xfId="2" applyNumberFormat="1" applyFont="1" applyBorder="1" applyAlignment="1">
      <alignment horizontal="center" vertical="center"/>
    </xf>
    <xf numFmtId="0" fontId="8" fillId="0" borderId="0" xfId="2" applyNumberFormat="1" applyFont="1" applyBorder="1" applyAlignment="1">
      <alignment horizontal="center" vertical="center"/>
    </xf>
    <xf numFmtId="0" fontId="8" fillId="0" borderId="0" xfId="2" applyNumberFormat="1" applyFont="1" applyBorder="1" applyAlignment="1">
      <alignment horizontal="left" vertical="center" indent="20"/>
    </xf>
    <xf numFmtId="0" fontId="8" fillId="2" borderId="1" xfId="2" applyNumberFormat="1" applyFont="1" applyFill="1" applyBorder="1" applyAlignment="1">
      <alignment horizontal="distributed" vertical="center" indent="1"/>
    </xf>
    <xf numFmtId="0" fontId="13" fillId="0" borderId="1" xfId="2" applyNumberFormat="1" applyFont="1" applyBorder="1" applyAlignment="1">
      <alignment horizontal="left" vertical="center" wrapText="1"/>
    </xf>
    <xf numFmtId="0" fontId="8" fillId="0" borderId="1" xfId="2" applyNumberFormat="1" applyFont="1" applyBorder="1" applyAlignment="1">
      <alignment horizontal="center" vertical="center" wrapText="1"/>
    </xf>
    <xf numFmtId="0" fontId="7" fillId="0" borderId="1" xfId="2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0" fontId="8" fillId="3" borderId="1" xfId="2" applyNumberFormat="1" applyFont="1" applyFill="1" applyBorder="1" applyAlignment="1">
      <alignment horizontal="distributed" vertical="center" indent="1"/>
    </xf>
    <xf numFmtId="0" fontId="9" fillId="0" borderId="1" xfId="3" applyNumberFormat="1" applyFont="1" applyBorder="1" applyAlignment="1">
      <alignment horizontal="center" vertical="center"/>
    </xf>
  </cellXfs>
  <cellStyles count="4">
    <cellStyle name="쉼표 [0]" xfId="1" builtinId="6"/>
    <cellStyle name="통화 [0] 2" xfId="3" xr:uid="{BB0F6D57-3429-463F-9685-BFCB0A424BE5}"/>
    <cellStyle name="표준" xfId="0" builtinId="0"/>
    <cellStyle name="표준 2 2" xfId="2" xr:uid="{C9110842-64B6-47ED-806E-5526F32FF59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352426</xdr:colOff>
      <xdr:row>1</xdr:row>
      <xdr:rowOff>19050</xdr:rowOff>
    </xdr:from>
    <xdr:to>
      <xdr:col>19</xdr:col>
      <xdr:colOff>643608</xdr:colOff>
      <xdr:row>16</xdr:row>
      <xdr:rowOff>161925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7C5B770-611D-47DC-9482-93F1E5B27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6726" y="228600"/>
          <a:ext cx="5091782" cy="32861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1</xdr:row>
      <xdr:rowOff>66675</xdr:rowOff>
    </xdr:from>
    <xdr:to>
      <xdr:col>11</xdr:col>
      <xdr:colOff>472979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3DCC51-1301-46C9-A9B5-63E23C97C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6225"/>
          <a:ext cx="6302279" cy="52673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17</xdr:col>
      <xdr:colOff>38100</xdr:colOff>
      <xdr:row>6</xdr:row>
      <xdr:rowOff>1</xdr:rowOff>
    </xdr:to>
    <xdr:sp macro="[0]!고급필터1" textlink="">
      <xdr:nvSpPr>
        <xdr:cNvPr id="2" name="직사각형 1">
          <a:extLst>
            <a:ext uri="{FF2B5EF4-FFF2-40B4-BE49-F238E27FC236}">
              <a16:creationId xmlns:a16="http://schemas.microsoft.com/office/drawing/2014/main" id="{B074B704-B2AB-47C2-BDFC-FF537A7AEB7C}"/>
            </a:ext>
          </a:extLst>
        </xdr:cNvPr>
        <xdr:cNvSpPr/>
      </xdr:nvSpPr>
      <xdr:spPr>
        <a:xfrm>
          <a:off x="9667875" y="838200"/>
          <a:ext cx="2400300" cy="4191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조건에 맞는 데이터 가져오기</a:t>
          </a:r>
        </a:p>
      </xdr:txBody>
    </xdr:sp>
    <xdr:clientData/>
  </xdr:twoCellAnchor>
  <xdr:twoCellAnchor>
    <xdr:from>
      <xdr:col>14</xdr:col>
      <xdr:colOff>0</xdr:colOff>
      <xdr:row>6</xdr:row>
      <xdr:rowOff>209549</xdr:rowOff>
    </xdr:from>
    <xdr:to>
      <xdr:col>17</xdr:col>
      <xdr:colOff>38100</xdr:colOff>
      <xdr:row>9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8ED19FF-E7A8-4B21-977E-03458B429644}"/>
            </a:ext>
          </a:extLst>
        </xdr:cNvPr>
        <xdr:cNvSpPr/>
      </xdr:nvSpPr>
      <xdr:spPr>
        <a:xfrm>
          <a:off x="9410700" y="1466849"/>
          <a:ext cx="2400300" cy="4191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581025</xdr:colOff>
      <xdr:row>29</xdr:row>
      <xdr:rowOff>48495</xdr:rowOff>
    </xdr:from>
    <xdr:to>
      <xdr:col>5</xdr:col>
      <xdr:colOff>781050</xdr:colOff>
      <xdr:row>29</xdr:row>
      <xdr:rowOff>292181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92C4C74-F72A-409F-B4F3-4D39F10EC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86425" y="6887445"/>
          <a:ext cx="200025" cy="243686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581025</xdr:colOff>
      <xdr:row>30</xdr:row>
      <xdr:rowOff>47996</xdr:rowOff>
    </xdr:from>
    <xdr:to>
      <xdr:col>5</xdr:col>
      <xdr:colOff>781050</xdr:colOff>
      <xdr:row>30</xdr:row>
      <xdr:rowOff>282656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948682-301B-4689-9734-ECA011300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86425" y="7239371"/>
          <a:ext cx="200025" cy="23466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EAEF-DE13-4426-9730-908088B50B5A}">
  <sheetPr codeName="Sheet1"/>
  <dimension ref="B2:B7"/>
  <sheetViews>
    <sheetView workbookViewId="0">
      <selection activeCell="C17" sqref="C17"/>
    </sheetView>
  </sheetViews>
  <sheetFormatPr defaultRowHeight="16.5"/>
  <cols>
    <col min="1" max="1" width="2.5" customWidth="1"/>
  </cols>
  <sheetData>
    <row r="2" spans="2:2">
      <c r="B2" s="1" t="s">
        <v>0</v>
      </c>
    </row>
    <row r="3" spans="2:2">
      <c r="B3" s="1">
        <v>10</v>
      </c>
    </row>
    <row r="4" spans="2:2">
      <c r="B4" s="1">
        <v>20</v>
      </c>
    </row>
    <row r="5" spans="2:2">
      <c r="B5" s="1">
        <v>30</v>
      </c>
    </row>
    <row r="6" spans="2:2">
      <c r="B6" s="1">
        <v>40</v>
      </c>
    </row>
    <row r="7" spans="2:2">
      <c r="B7" s="1">
        <v>50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1170-B4BD-4C21-9557-7E6BBB8BF2C3}">
  <sheetPr codeName="Sheet2"/>
  <dimension ref="B2:M80"/>
  <sheetViews>
    <sheetView workbookViewId="0">
      <selection activeCell="K11" sqref="K11"/>
    </sheetView>
  </sheetViews>
  <sheetFormatPr defaultRowHeight="16.5"/>
  <cols>
    <col min="1" max="1" width="2.375" customWidth="1"/>
    <col min="3" max="3" width="11" bestFit="1" customWidth="1"/>
    <col min="4" max="5" width="5.25" bestFit="1" customWidth="1"/>
    <col min="6" max="6" width="14.125" bestFit="1" customWidth="1"/>
    <col min="7" max="7" width="11.125" bestFit="1" customWidth="1"/>
    <col min="8" max="8" width="5.25" bestFit="1" customWidth="1"/>
    <col min="9" max="9" width="15.875" bestFit="1" customWidth="1"/>
    <col min="10" max="10" width="11.125" bestFit="1" customWidth="1"/>
    <col min="11" max="11" width="14.125" bestFit="1" customWidth="1"/>
    <col min="12" max="12" width="10.875" bestFit="1" customWidth="1"/>
    <col min="13" max="13" width="11.125" bestFit="1" customWidth="1"/>
  </cols>
  <sheetData>
    <row r="2" spans="2:13" ht="27.75" customHeight="1">
      <c r="B2" s="29" t="s">
        <v>1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2:13" ht="7.5" customHeight="1"/>
    <row r="4" spans="2:13" ht="19.5" customHeight="1"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  <c r="M4" s="2" t="s">
        <v>13</v>
      </c>
    </row>
    <row r="5" spans="2:13">
      <c r="B5" s="1" t="s">
        <v>14</v>
      </c>
      <c r="C5" s="1" t="s">
        <v>15</v>
      </c>
      <c r="D5" s="1" t="s">
        <v>16</v>
      </c>
      <c r="E5" s="1" t="s">
        <v>17</v>
      </c>
      <c r="F5" s="1" t="s">
        <v>18</v>
      </c>
      <c r="G5" s="3">
        <v>33096</v>
      </c>
      <c r="H5" s="1">
        <v>28</v>
      </c>
      <c r="I5" s="1" t="s">
        <v>19</v>
      </c>
      <c r="J5" s="3">
        <v>42830</v>
      </c>
      <c r="K5" s="1" t="s">
        <v>20</v>
      </c>
      <c r="L5" s="4">
        <v>2000000</v>
      </c>
      <c r="M5" s="4">
        <v>100000</v>
      </c>
    </row>
    <row r="6" spans="2:13">
      <c r="B6" s="1" t="s">
        <v>21</v>
      </c>
      <c r="C6" s="1" t="s">
        <v>22</v>
      </c>
      <c r="D6" s="1" t="s">
        <v>16</v>
      </c>
      <c r="E6" s="1" t="s">
        <v>23</v>
      </c>
      <c r="F6" s="1" t="s">
        <v>24</v>
      </c>
      <c r="G6" s="3">
        <v>30608</v>
      </c>
      <c r="H6" s="1">
        <v>35</v>
      </c>
      <c r="I6" s="1" t="s">
        <v>25</v>
      </c>
      <c r="J6" s="3">
        <v>40563</v>
      </c>
      <c r="K6" s="1" t="s">
        <v>26</v>
      </c>
      <c r="L6" s="4">
        <v>2000000</v>
      </c>
      <c r="M6" s="4">
        <v>100000</v>
      </c>
    </row>
    <row r="7" spans="2:13">
      <c r="B7" s="1" t="s">
        <v>27</v>
      </c>
      <c r="C7" s="1" t="s">
        <v>28</v>
      </c>
      <c r="D7" s="1" t="s">
        <v>16</v>
      </c>
      <c r="E7" s="1" t="s">
        <v>17</v>
      </c>
      <c r="F7" s="1" t="s">
        <v>29</v>
      </c>
      <c r="G7" s="3">
        <v>31201</v>
      </c>
      <c r="H7" s="1">
        <v>33</v>
      </c>
      <c r="I7" s="1" t="s">
        <v>30</v>
      </c>
      <c r="J7" s="3">
        <v>40809</v>
      </c>
      <c r="K7" s="1" t="s">
        <v>31</v>
      </c>
      <c r="L7" s="4">
        <v>2000000</v>
      </c>
      <c r="M7" s="4">
        <v>100000</v>
      </c>
    </row>
    <row r="8" spans="2:13">
      <c r="B8" s="1" t="s">
        <v>32</v>
      </c>
      <c r="C8" s="1" t="s">
        <v>22</v>
      </c>
      <c r="D8" s="1" t="s">
        <v>16</v>
      </c>
      <c r="E8" s="1" t="s">
        <v>23</v>
      </c>
      <c r="F8" s="1" t="s">
        <v>33</v>
      </c>
      <c r="G8" s="3">
        <v>31927</v>
      </c>
      <c r="H8" s="1">
        <v>31</v>
      </c>
      <c r="I8" s="1" t="s">
        <v>34</v>
      </c>
      <c r="J8" s="3">
        <v>42269</v>
      </c>
      <c r="K8" s="1" t="s">
        <v>35</v>
      </c>
      <c r="L8" s="4">
        <v>2000000</v>
      </c>
      <c r="M8" s="4">
        <v>100000</v>
      </c>
    </row>
    <row r="9" spans="2:13">
      <c r="B9" s="1" t="s">
        <v>36</v>
      </c>
      <c r="C9" s="1" t="s">
        <v>22</v>
      </c>
      <c r="D9" s="1" t="s">
        <v>37</v>
      </c>
      <c r="E9" s="1" t="s">
        <v>17</v>
      </c>
      <c r="F9" s="1" t="s">
        <v>38</v>
      </c>
      <c r="G9" s="3">
        <v>26056</v>
      </c>
      <c r="H9" s="1">
        <v>47</v>
      </c>
      <c r="I9" s="1" t="s">
        <v>39</v>
      </c>
      <c r="J9" s="3">
        <v>35622</v>
      </c>
      <c r="K9" s="1" t="s">
        <v>40</v>
      </c>
      <c r="L9" s="4">
        <v>5000000</v>
      </c>
      <c r="M9" s="4">
        <v>100000</v>
      </c>
    </row>
    <row r="10" spans="2:13">
      <c r="B10" s="1" t="s">
        <v>41</v>
      </c>
      <c r="C10" s="1" t="s">
        <v>42</v>
      </c>
      <c r="D10" s="1" t="s">
        <v>43</v>
      </c>
      <c r="E10" s="1" t="s">
        <v>17</v>
      </c>
      <c r="F10" s="1" t="s">
        <v>44</v>
      </c>
      <c r="G10" s="3">
        <v>29790</v>
      </c>
      <c r="H10" s="1">
        <v>37</v>
      </c>
      <c r="I10" s="1" t="s">
        <v>45</v>
      </c>
      <c r="J10" s="3">
        <v>39708</v>
      </c>
      <c r="K10" s="1" t="s">
        <v>46</v>
      </c>
      <c r="L10" s="4">
        <v>2700000</v>
      </c>
      <c r="M10" s="4">
        <v>200000</v>
      </c>
    </row>
    <row r="11" spans="2:13">
      <c r="B11" s="1" t="s">
        <v>47</v>
      </c>
      <c r="C11" s="1" t="s">
        <v>48</v>
      </c>
      <c r="D11" s="1" t="s">
        <v>16</v>
      </c>
      <c r="E11" s="1" t="s">
        <v>17</v>
      </c>
      <c r="F11" s="1" t="s">
        <v>49</v>
      </c>
      <c r="G11" s="3">
        <v>32356</v>
      </c>
      <c r="H11" s="1">
        <v>30</v>
      </c>
      <c r="I11" s="1" t="s">
        <v>39</v>
      </c>
      <c r="J11" s="3">
        <v>42332</v>
      </c>
      <c r="K11" s="1" t="s">
        <v>50</v>
      </c>
      <c r="L11" s="4">
        <v>2000000</v>
      </c>
      <c r="M11" s="4">
        <v>100000</v>
      </c>
    </row>
    <row r="12" spans="2:13">
      <c r="B12" s="1" t="s">
        <v>51</v>
      </c>
      <c r="C12" s="1" t="s">
        <v>52</v>
      </c>
      <c r="D12" s="1" t="s">
        <v>16</v>
      </c>
      <c r="E12" s="1" t="s">
        <v>23</v>
      </c>
      <c r="F12" s="1" t="s">
        <v>53</v>
      </c>
      <c r="G12" s="3">
        <v>33237</v>
      </c>
      <c r="H12" s="1">
        <v>28</v>
      </c>
      <c r="I12" s="1" t="s">
        <v>30</v>
      </c>
      <c r="J12" s="3">
        <v>42009</v>
      </c>
      <c r="K12" s="1" t="s">
        <v>54</v>
      </c>
      <c r="L12" s="4">
        <v>2000000</v>
      </c>
      <c r="M12" s="4">
        <v>200000</v>
      </c>
    </row>
    <row r="13" spans="2:13">
      <c r="B13" s="1" t="s">
        <v>55</v>
      </c>
      <c r="C13" s="1" t="s">
        <v>56</v>
      </c>
      <c r="D13" s="1" t="s">
        <v>37</v>
      </c>
      <c r="E13" s="1" t="s">
        <v>17</v>
      </c>
      <c r="F13" s="1" t="s">
        <v>57</v>
      </c>
      <c r="G13" s="3">
        <v>25248</v>
      </c>
      <c r="H13" s="1">
        <v>49</v>
      </c>
      <c r="I13" s="1" t="s">
        <v>34</v>
      </c>
      <c r="J13" s="3">
        <v>35270</v>
      </c>
      <c r="K13" s="1" t="s">
        <v>58</v>
      </c>
      <c r="L13" s="4">
        <v>5000000</v>
      </c>
      <c r="M13" s="4">
        <v>100000</v>
      </c>
    </row>
    <row r="14" spans="2:13">
      <c r="B14" s="1" t="s">
        <v>59</v>
      </c>
      <c r="C14" s="1" t="s">
        <v>48</v>
      </c>
      <c r="D14" s="1" t="s">
        <v>60</v>
      </c>
      <c r="E14" s="1" t="s">
        <v>23</v>
      </c>
      <c r="F14" s="1" t="s">
        <v>61</v>
      </c>
      <c r="G14" s="3">
        <v>27389</v>
      </c>
      <c r="H14" s="1">
        <v>44</v>
      </c>
      <c r="I14" s="1" t="s">
        <v>62</v>
      </c>
      <c r="J14" s="3">
        <v>37421</v>
      </c>
      <c r="K14" s="1" t="s">
        <v>63</v>
      </c>
      <c r="L14" s="4">
        <v>4000000</v>
      </c>
      <c r="M14" s="4">
        <v>100000</v>
      </c>
    </row>
    <row r="15" spans="2:13">
      <c r="B15" s="1" t="s">
        <v>64</v>
      </c>
      <c r="C15" s="1" t="s">
        <v>48</v>
      </c>
      <c r="D15" s="1" t="s">
        <v>16</v>
      </c>
      <c r="E15" s="1" t="s">
        <v>23</v>
      </c>
      <c r="F15" s="1" t="s">
        <v>65</v>
      </c>
      <c r="G15" s="3">
        <v>30597</v>
      </c>
      <c r="H15" s="1">
        <v>35</v>
      </c>
      <c r="I15" s="1" t="s">
        <v>39</v>
      </c>
      <c r="J15" s="3">
        <v>40703</v>
      </c>
      <c r="K15" s="1" t="s">
        <v>66</v>
      </c>
      <c r="L15" s="4">
        <v>2000000</v>
      </c>
      <c r="M15" s="4">
        <v>100000</v>
      </c>
    </row>
    <row r="16" spans="2:13">
      <c r="B16" s="1" t="s">
        <v>67</v>
      </c>
      <c r="C16" s="1" t="s">
        <v>15</v>
      </c>
      <c r="D16" s="1" t="s">
        <v>37</v>
      </c>
      <c r="E16" s="1" t="s">
        <v>23</v>
      </c>
      <c r="F16" s="1" t="s">
        <v>68</v>
      </c>
      <c r="G16" s="3">
        <v>26558</v>
      </c>
      <c r="H16" s="1">
        <v>46</v>
      </c>
      <c r="I16" s="1" t="s">
        <v>69</v>
      </c>
      <c r="J16" s="3">
        <v>35786</v>
      </c>
      <c r="K16" s="1" t="s">
        <v>70</v>
      </c>
      <c r="L16" s="4">
        <v>5000000</v>
      </c>
      <c r="M16" s="4">
        <v>100000</v>
      </c>
    </row>
    <row r="17" spans="2:13">
      <c r="B17" s="1" t="s">
        <v>71</v>
      </c>
      <c r="C17" s="1" t="s">
        <v>48</v>
      </c>
      <c r="D17" s="1" t="s">
        <v>72</v>
      </c>
      <c r="E17" s="1" t="s">
        <v>17</v>
      </c>
      <c r="F17" s="1" t="s">
        <v>73</v>
      </c>
      <c r="G17" s="3">
        <v>27275</v>
      </c>
      <c r="H17" s="1">
        <v>44</v>
      </c>
      <c r="I17" s="1" t="s">
        <v>74</v>
      </c>
      <c r="J17" s="3">
        <v>37421</v>
      </c>
      <c r="K17" s="1" t="s">
        <v>75</v>
      </c>
      <c r="L17" s="4">
        <v>3500000</v>
      </c>
      <c r="M17" s="4">
        <v>100000</v>
      </c>
    </row>
    <row r="18" spans="2:13">
      <c r="B18" s="1" t="s">
        <v>76</v>
      </c>
      <c r="C18" s="1" t="s">
        <v>42</v>
      </c>
      <c r="D18" s="1" t="s">
        <v>72</v>
      </c>
      <c r="E18" s="1" t="s">
        <v>23</v>
      </c>
      <c r="F18" s="1" t="s">
        <v>77</v>
      </c>
      <c r="G18" s="3">
        <v>29424</v>
      </c>
      <c r="H18" s="1">
        <v>38</v>
      </c>
      <c r="I18" s="1" t="s">
        <v>69</v>
      </c>
      <c r="J18" s="3">
        <v>38810</v>
      </c>
      <c r="K18" s="1" t="s">
        <v>78</v>
      </c>
      <c r="L18" s="4">
        <v>3500000</v>
      </c>
      <c r="M18" s="4">
        <v>200000</v>
      </c>
    </row>
    <row r="19" spans="2:13">
      <c r="B19" s="1" t="s">
        <v>79</v>
      </c>
      <c r="C19" s="1" t="s">
        <v>80</v>
      </c>
      <c r="D19" s="1" t="s">
        <v>37</v>
      </c>
      <c r="E19" s="1" t="s">
        <v>23</v>
      </c>
      <c r="F19" s="1" t="s">
        <v>81</v>
      </c>
      <c r="G19" s="3">
        <v>26651</v>
      </c>
      <c r="H19" s="1">
        <v>46</v>
      </c>
      <c r="I19" s="1" t="s">
        <v>82</v>
      </c>
      <c r="J19" s="3">
        <v>35997</v>
      </c>
      <c r="K19" s="1" t="s">
        <v>83</v>
      </c>
      <c r="L19" s="4">
        <v>5000000</v>
      </c>
      <c r="M19" s="4">
        <v>100000</v>
      </c>
    </row>
    <row r="20" spans="2:13">
      <c r="B20" s="1" t="s">
        <v>84</v>
      </c>
      <c r="C20" s="1" t="s">
        <v>48</v>
      </c>
      <c r="D20" s="1" t="s">
        <v>60</v>
      </c>
      <c r="E20" s="1" t="s">
        <v>17</v>
      </c>
      <c r="F20" s="1" t="s">
        <v>85</v>
      </c>
      <c r="G20" s="3">
        <v>27186</v>
      </c>
      <c r="H20" s="1">
        <v>44</v>
      </c>
      <c r="I20" s="1" t="s">
        <v>30</v>
      </c>
      <c r="J20" s="3">
        <v>36313</v>
      </c>
      <c r="K20" s="1" t="s">
        <v>86</v>
      </c>
      <c r="L20" s="4">
        <v>4000000</v>
      </c>
      <c r="M20" s="4">
        <v>100000</v>
      </c>
    </row>
    <row r="21" spans="2:13">
      <c r="B21" s="1" t="s">
        <v>87</v>
      </c>
      <c r="C21" s="1" t="s">
        <v>15</v>
      </c>
      <c r="D21" s="1" t="s">
        <v>16</v>
      </c>
      <c r="E21" s="1" t="s">
        <v>23</v>
      </c>
      <c r="F21" s="1" t="s">
        <v>88</v>
      </c>
      <c r="G21" s="3">
        <v>30818</v>
      </c>
      <c r="H21" s="1">
        <v>34</v>
      </c>
      <c r="I21" s="1" t="s">
        <v>89</v>
      </c>
      <c r="J21" s="3">
        <v>40869</v>
      </c>
      <c r="K21" s="1" t="s">
        <v>90</v>
      </c>
      <c r="L21" s="4">
        <v>2000000</v>
      </c>
      <c r="M21" s="4">
        <v>100000</v>
      </c>
    </row>
    <row r="22" spans="2:13">
      <c r="B22" s="1" t="s">
        <v>91</v>
      </c>
      <c r="C22" s="1" t="s">
        <v>80</v>
      </c>
      <c r="D22" s="1" t="s">
        <v>72</v>
      </c>
      <c r="E22" s="1" t="s">
        <v>23</v>
      </c>
      <c r="F22" s="1" t="s">
        <v>92</v>
      </c>
      <c r="G22" s="3">
        <v>28274</v>
      </c>
      <c r="H22" s="1">
        <v>41</v>
      </c>
      <c r="I22" s="1" t="s">
        <v>45</v>
      </c>
      <c r="J22" s="3">
        <v>37523</v>
      </c>
      <c r="K22" s="1" t="s">
        <v>93</v>
      </c>
      <c r="L22" s="4">
        <v>3500000</v>
      </c>
      <c r="M22" s="4">
        <v>100000</v>
      </c>
    </row>
    <row r="23" spans="2:13">
      <c r="B23" s="1" t="s">
        <v>94</v>
      </c>
      <c r="C23" s="1" t="s">
        <v>28</v>
      </c>
      <c r="D23" s="1" t="s">
        <v>37</v>
      </c>
      <c r="E23" s="1" t="s">
        <v>17</v>
      </c>
      <c r="F23" s="1" t="s">
        <v>95</v>
      </c>
      <c r="G23" s="3">
        <v>25680</v>
      </c>
      <c r="H23" s="1">
        <v>48</v>
      </c>
      <c r="I23" s="1" t="s">
        <v>96</v>
      </c>
      <c r="J23" s="3">
        <v>35083</v>
      </c>
      <c r="K23" s="1" t="s">
        <v>97</v>
      </c>
      <c r="L23" s="4">
        <v>5000000</v>
      </c>
      <c r="M23" s="4">
        <v>100000</v>
      </c>
    </row>
    <row r="24" spans="2:13">
      <c r="B24" s="1" t="s">
        <v>98</v>
      </c>
      <c r="C24" s="1" t="s">
        <v>15</v>
      </c>
      <c r="D24" s="1" t="s">
        <v>60</v>
      </c>
      <c r="E24" s="1" t="s">
        <v>17</v>
      </c>
      <c r="F24" s="1" t="s">
        <v>99</v>
      </c>
      <c r="G24" s="3">
        <v>26499</v>
      </c>
      <c r="H24" s="1">
        <v>46</v>
      </c>
      <c r="I24" s="1" t="s">
        <v>19</v>
      </c>
      <c r="J24" s="3">
        <v>35613</v>
      </c>
      <c r="K24" s="1" t="s">
        <v>100</v>
      </c>
      <c r="L24" s="4">
        <v>4000000</v>
      </c>
      <c r="M24" s="4">
        <v>100000</v>
      </c>
    </row>
    <row r="25" spans="2:13">
      <c r="B25" s="1" t="s">
        <v>101</v>
      </c>
      <c r="C25" s="1" t="s">
        <v>56</v>
      </c>
      <c r="D25" s="1" t="s">
        <v>60</v>
      </c>
      <c r="E25" s="1" t="s">
        <v>17</v>
      </c>
      <c r="F25" s="1" t="s">
        <v>102</v>
      </c>
      <c r="G25" s="3">
        <v>27191</v>
      </c>
      <c r="H25" s="1">
        <v>44</v>
      </c>
      <c r="I25" s="1" t="s">
        <v>39</v>
      </c>
      <c r="J25" s="3">
        <v>36993</v>
      </c>
      <c r="K25" s="1" t="s">
        <v>103</v>
      </c>
      <c r="L25" s="4">
        <v>4000000</v>
      </c>
      <c r="M25" s="4">
        <v>100000</v>
      </c>
    </row>
    <row r="26" spans="2:13">
      <c r="B26" s="1" t="s">
        <v>104</v>
      </c>
      <c r="C26" s="1" t="s">
        <v>42</v>
      </c>
      <c r="D26" s="1" t="s">
        <v>16</v>
      </c>
      <c r="E26" s="1" t="s">
        <v>17</v>
      </c>
      <c r="F26" s="1" t="s">
        <v>105</v>
      </c>
      <c r="G26" s="3">
        <v>31404</v>
      </c>
      <c r="H26" s="1">
        <v>33</v>
      </c>
      <c r="I26" s="1" t="s">
        <v>89</v>
      </c>
      <c r="J26" s="3">
        <v>41312</v>
      </c>
      <c r="K26" s="1" t="s">
        <v>106</v>
      </c>
      <c r="L26" s="4">
        <v>2000000</v>
      </c>
      <c r="M26" s="4">
        <v>200000</v>
      </c>
    </row>
    <row r="27" spans="2:13">
      <c r="B27" s="1" t="s">
        <v>107</v>
      </c>
      <c r="C27" s="1" t="s">
        <v>80</v>
      </c>
      <c r="D27" s="1" t="s">
        <v>16</v>
      </c>
      <c r="E27" s="1" t="s">
        <v>23</v>
      </c>
      <c r="F27" s="1" t="s">
        <v>108</v>
      </c>
      <c r="G27" s="3">
        <v>31565</v>
      </c>
      <c r="H27" s="1">
        <v>32</v>
      </c>
      <c r="I27" s="1" t="s">
        <v>74</v>
      </c>
      <c r="J27" s="3">
        <v>41278</v>
      </c>
      <c r="K27" s="1" t="s">
        <v>109</v>
      </c>
      <c r="L27" s="4">
        <v>2000000</v>
      </c>
      <c r="M27" s="4">
        <v>100000</v>
      </c>
    </row>
    <row r="28" spans="2:13">
      <c r="B28" s="1" t="s">
        <v>110</v>
      </c>
      <c r="C28" s="1" t="s">
        <v>52</v>
      </c>
      <c r="D28" s="1" t="s">
        <v>43</v>
      </c>
      <c r="E28" s="1" t="s">
        <v>23</v>
      </c>
      <c r="F28" s="1" t="s">
        <v>111</v>
      </c>
      <c r="G28" s="3">
        <v>30815</v>
      </c>
      <c r="H28" s="1">
        <v>34</v>
      </c>
      <c r="I28" s="1" t="s">
        <v>30</v>
      </c>
      <c r="J28" s="3">
        <v>40816</v>
      </c>
      <c r="K28" s="1" t="s">
        <v>112</v>
      </c>
      <c r="L28" s="4">
        <v>2700000</v>
      </c>
      <c r="M28" s="4">
        <v>200000</v>
      </c>
    </row>
    <row r="29" spans="2:13">
      <c r="B29" s="1" t="s">
        <v>113</v>
      </c>
      <c r="C29" s="1" t="s">
        <v>22</v>
      </c>
      <c r="D29" s="1" t="s">
        <v>72</v>
      </c>
      <c r="E29" s="1" t="s">
        <v>17</v>
      </c>
      <c r="F29" s="1" t="s">
        <v>114</v>
      </c>
      <c r="G29" s="3">
        <v>28595</v>
      </c>
      <c r="H29" s="1">
        <v>40</v>
      </c>
      <c r="I29" s="1" t="s">
        <v>34</v>
      </c>
      <c r="J29" s="3">
        <v>38980</v>
      </c>
      <c r="K29" s="1" t="s">
        <v>115</v>
      </c>
      <c r="L29" s="4">
        <v>3500000</v>
      </c>
      <c r="M29" s="4">
        <v>100000</v>
      </c>
    </row>
    <row r="30" spans="2:13">
      <c r="B30" s="1" t="s">
        <v>116</v>
      </c>
      <c r="C30" s="1" t="s">
        <v>42</v>
      </c>
      <c r="D30" s="1" t="s">
        <v>60</v>
      </c>
      <c r="E30" s="1" t="s">
        <v>23</v>
      </c>
      <c r="F30" s="1" t="s">
        <v>117</v>
      </c>
      <c r="G30" s="3">
        <v>27185</v>
      </c>
      <c r="H30" s="1">
        <v>44</v>
      </c>
      <c r="I30" s="1" t="s">
        <v>34</v>
      </c>
      <c r="J30" s="3">
        <v>37049</v>
      </c>
      <c r="K30" s="1" t="s">
        <v>118</v>
      </c>
      <c r="L30" s="4">
        <v>4000000</v>
      </c>
      <c r="M30" s="4">
        <v>200000</v>
      </c>
    </row>
    <row r="31" spans="2:13">
      <c r="B31" s="1" t="s">
        <v>119</v>
      </c>
      <c r="C31" s="1" t="s">
        <v>42</v>
      </c>
      <c r="D31" s="1" t="s">
        <v>16</v>
      </c>
      <c r="E31" s="1" t="s">
        <v>17</v>
      </c>
      <c r="F31" s="1" t="s">
        <v>120</v>
      </c>
      <c r="G31" s="3">
        <v>31941</v>
      </c>
      <c r="H31" s="1">
        <v>31</v>
      </c>
      <c r="I31" s="1" t="s">
        <v>25</v>
      </c>
      <c r="J31" s="3">
        <v>41568</v>
      </c>
      <c r="K31" s="1" t="s">
        <v>121</v>
      </c>
      <c r="L31" s="4">
        <v>2000000</v>
      </c>
      <c r="M31" s="4">
        <v>200000</v>
      </c>
    </row>
    <row r="32" spans="2:13">
      <c r="B32" s="1" t="s">
        <v>122</v>
      </c>
      <c r="C32" s="1" t="s">
        <v>42</v>
      </c>
      <c r="D32" s="1" t="s">
        <v>72</v>
      </c>
      <c r="E32" s="1" t="s">
        <v>17</v>
      </c>
      <c r="F32" s="1" t="s">
        <v>123</v>
      </c>
      <c r="G32" s="3">
        <v>28146</v>
      </c>
      <c r="H32" s="1">
        <v>41</v>
      </c>
      <c r="I32" s="1" t="s">
        <v>39</v>
      </c>
      <c r="J32" s="3">
        <v>37418</v>
      </c>
      <c r="K32" s="1" t="s">
        <v>124</v>
      </c>
      <c r="L32" s="4">
        <v>3500000</v>
      </c>
      <c r="M32" s="4">
        <v>200000</v>
      </c>
    </row>
    <row r="33" spans="2:13">
      <c r="B33" s="1" t="s">
        <v>125</v>
      </c>
      <c r="C33" s="1" t="s">
        <v>126</v>
      </c>
      <c r="D33" s="1" t="s">
        <v>37</v>
      </c>
      <c r="E33" s="1" t="s">
        <v>23</v>
      </c>
      <c r="F33" s="1" t="s">
        <v>127</v>
      </c>
      <c r="G33" s="3">
        <v>26219</v>
      </c>
      <c r="H33" s="1">
        <v>47</v>
      </c>
      <c r="I33" s="1" t="s">
        <v>25</v>
      </c>
      <c r="J33" s="3">
        <v>35235</v>
      </c>
      <c r="K33" s="1" t="s">
        <v>128</v>
      </c>
      <c r="L33" s="4">
        <v>5000000</v>
      </c>
      <c r="M33" s="4">
        <v>100000</v>
      </c>
    </row>
    <row r="34" spans="2:13">
      <c r="B34" s="1" t="s">
        <v>129</v>
      </c>
      <c r="C34" s="1" t="s">
        <v>52</v>
      </c>
      <c r="D34" s="1" t="s">
        <v>72</v>
      </c>
      <c r="E34" s="1" t="s">
        <v>17</v>
      </c>
      <c r="F34" s="1" t="s">
        <v>130</v>
      </c>
      <c r="G34" s="3">
        <v>29194</v>
      </c>
      <c r="H34" s="1">
        <v>39</v>
      </c>
      <c r="I34" s="1" t="s">
        <v>30</v>
      </c>
      <c r="J34" s="3">
        <v>38672</v>
      </c>
      <c r="K34" s="1" t="s">
        <v>131</v>
      </c>
      <c r="L34" s="4">
        <v>3500000</v>
      </c>
      <c r="M34" s="4">
        <v>200000</v>
      </c>
    </row>
    <row r="35" spans="2:13">
      <c r="B35" s="1" t="s">
        <v>132</v>
      </c>
      <c r="C35" s="1" t="s">
        <v>28</v>
      </c>
      <c r="D35" s="1" t="s">
        <v>43</v>
      </c>
      <c r="E35" s="1" t="s">
        <v>17</v>
      </c>
      <c r="F35" s="1" t="s">
        <v>133</v>
      </c>
      <c r="G35" s="3">
        <v>30789</v>
      </c>
      <c r="H35" s="1">
        <v>34</v>
      </c>
      <c r="I35" s="1" t="s">
        <v>30</v>
      </c>
      <c r="J35" s="3">
        <v>40826</v>
      </c>
      <c r="K35" s="1" t="s">
        <v>134</v>
      </c>
      <c r="L35" s="4">
        <v>2700000</v>
      </c>
      <c r="M35" s="4">
        <v>100000</v>
      </c>
    </row>
    <row r="36" spans="2:13">
      <c r="B36" s="1" t="s">
        <v>135</v>
      </c>
      <c r="C36" s="1" t="s">
        <v>28</v>
      </c>
      <c r="D36" s="1" t="s">
        <v>72</v>
      </c>
      <c r="E36" s="1" t="s">
        <v>23</v>
      </c>
      <c r="F36" s="1" t="s">
        <v>136</v>
      </c>
      <c r="G36" s="3">
        <v>29529</v>
      </c>
      <c r="H36" s="1">
        <v>38</v>
      </c>
      <c r="I36" s="1" t="s">
        <v>39</v>
      </c>
      <c r="J36" s="3">
        <v>38758</v>
      </c>
      <c r="K36" s="1" t="s">
        <v>137</v>
      </c>
      <c r="L36" s="4">
        <v>3500000</v>
      </c>
      <c r="M36" s="4">
        <v>100000</v>
      </c>
    </row>
    <row r="37" spans="2:13">
      <c r="B37" s="1" t="s">
        <v>138</v>
      </c>
      <c r="C37" s="1" t="s">
        <v>52</v>
      </c>
      <c r="D37" s="1" t="s">
        <v>37</v>
      </c>
      <c r="E37" s="1" t="s">
        <v>17</v>
      </c>
      <c r="F37" s="1" t="s">
        <v>139</v>
      </c>
      <c r="G37" s="3">
        <v>25239</v>
      </c>
      <c r="H37" s="1">
        <v>49</v>
      </c>
      <c r="I37" s="1" t="s">
        <v>74</v>
      </c>
      <c r="J37" s="3">
        <v>35257</v>
      </c>
      <c r="K37" s="1" t="s">
        <v>140</v>
      </c>
      <c r="L37" s="4">
        <v>5000000</v>
      </c>
      <c r="M37" s="4">
        <v>200000</v>
      </c>
    </row>
    <row r="38" spans="2:13">
      <c r="B38" s="1" t="s">
        <v>141</v>
      </c>
      <c r="C38" s="1" t="s">
        <v>52</v>
      </c>
      <c r="D38" s="1" t="s">
        <v>43</v>
      </c>
      <c r="E38" s="1" t="s">
        <v>23</v>
      </c>
      <c r="F38" s="1" t="s">
        <v>142</v>
      </c>
      <c r="G38" s="3">
        <v>29729</v>
      </c>
      <c r="H38" s="1">
        <v>37</v>
      </c>
      <c r="I38" s="1" t="s">
        <v>45</v>
      </c>
      <c r="J38" s="3">
        <v>39168</v>
      </c>
      <c r="K38" s="1" t="s">
        <v>143</v>
      </c>
      <c r="L38" s="4">
        <v>2700000</v>
      </c>
      <c r="M38" s="4">
        <v>200000</v>
      </c>
    </row>
    <row r="39" spans="2:13">
      <c r="B39" s="1" t="s">
        <v>144</v>
      </c>
      <c r="C39" s="1" t="s">
        <v>48</v>
      </c>
      <c r="D39" s="1" t="s">
        <v>72</v>
      </c>
      <c r="E39" s="1" t="s">
        <v>17</v>
      </c>
      <c r="F39" s="1" t="s">
        <v>145</v>
      </c>
      <c r="G39" s="3">
        <v>27265</v>
      </c>
      <c r="H39" s="1">
        <v>44</v>
      </c>
      <c r="I39" s="1" t="s">
        <v>34</v>
      </c>
      <c r="J39" s="3">
        <v>37335</v>
      </c>
      <c r="K39" s="1" t="s">
        <v>146</v>
      </c>
      <c r="L39" s="4">
        <v>3500000</v>
      </c>
      <c r="M39" s="4">
        <v>100000</v>
      </c>
    </row>
    <row r="40" spans="2:13">
      <c r="B40" s="1" t="s">
        <v>147</v>
      </c>
      <c r="C40" s="1" t="s">
        <v>126</v>
      </c>
      <c r="D40" s="1" t="s">
        <v>16</v>
      </c>
      <c r="E40" s="1" t="s">
        <v>17</v>
      </c>
      <c r="F40" s="1" t="s">
        <v>148</v>
      </c>
      <c r="G40" s="3">
        <v>31492</v>
      </c>
      <c r="H40" s="1">
        <v>32</v>
      </c>
      <c r="I40" s="1" t="s">
        <v>39</v>
      </c>
      <c r="J40" s="3">
        <v>40710</v>
      </c>
      <c r="K40" s="1" t="s">
        <v>149</v>
      </c>
      <c r="L40" s="4">
        <v>2000000</v>
      </c>
      <c r="M40" s="4">
        <v>100000</v>
      </c>
    </row>
    <row r="41" spans="2:13">
      <c r="B41" s="1" t="s">
        <v>150</v>
      </c>
      <c r="C41" s="1" t="s">
        <v>80</v>
      </c>
      <c r="D41" s="1" t="s">
        <v>43</v>
      </c>
      <c r="E41" s="1" t="s">
        <v>23</v>
      </c>
      <c r="F41" s="1" t="s">
        <v>151</v>
      </c>
      <c r="G41" s="3">
        <v>30781</v>
      </c>
      <c r="H41" s="1">
        <v>34</v>
      </c>
      <c r="I41" s="1" t="s">
        <v>19</v>
      </c>
      <c r="J41" s="3">
        <v>40788</v>
      </c>
      <c r="K41" s="1" t="s">
        <v>152</v>
      </c>
      <c r="L41" s="4">
        <v>2700000</v>
      </c>
      <c r="M41" s="4">
        <v>100000</v>
      </c>
    </row>
    <row r="42" spans="2:13">
      <c r="B42" s="1" t="s">
        <v>153</v>
      </c>
      <c r="C42" s="1" t="s">
        <v>15</v>
      </c>
      <c r="D42" s="1" t="s">
        <v>72</v>
      </c>
      <c r="E42" s="1" t="s">
        <v>17</v>
      </c>
      <c r="F42" s="1" t="s">
        <v>154</v>
      </c>
      <c r="G42" s="3">
        <v>29040</v>
      </c>
      <c r="H42" s="1">
        <v>39</v>
      </c>
      <c r="I42" s="1" t="s">
        <v>74</v>
      </c>
      <c r="J42" s="3">
        <v>38660</v>
      </c>
      <c r="K42" s="1" t="s">
        <v>155</v>
      </c>
      <c r="L42" s="4">
        <v>3500000</v>
      </c>
      <c r="M42" s="4">
        <v>100000</v>
      </c>
    </row>
    <row r="43" spans="2:13">
      <c r="B43" s="1" t="s">
        <v>156</v>
      </c>
      <c r="C43" s="1" t="s">
        <v>52</v>
      </c>
      <c r="D43" s="1" t="s">
        <v>43</v>
      </c>
      <c r="E43" s="1" t="s">
        <v>17</v>
      </c>
      <c r="F43" s="1" t="s">
        <v>157</v>
      </c>
      <c r="G43" s="3">
        <v>29681</v>
      </c>
      <c r="H43" s="1">
        <v>37</v>
      </c>
      <c r="I43" s="1" t="s">
        <v>34</v>
      </c>
      <c r="J43" s="3">
        <v>38891</v>
      </c>
      <c r="K43" s="1" t="s">
        <v>158</v>
      </c>
      <c r="L43" s="4">
        <v>2700000</v>
      </c>
      <c r="M43" s="4">
        <v>200000</v>
      </c>
    </row>
    <row r="44" spans="2:13">
      <c r="B44" s="1" t="s">
        <v>159</v>
      </c>
      <c r="C44" s="1" t="s">
        <v>52</v>
      </c>
      <c r="D44" s="1" t="s">
        <v>60</v>
      </c>
      <c r="E44" s="1" t="s">
        <v>17</v>
      </c>
      <c r="F44" s="1" t="s">
        <v>160</v>
      </c>
      <c r="G44" s="3">
        <v>26635</v>
      </c>
      <c r="H44" s="1">
        <v>46</v>
      </c>
      <c r="I44" s="1" t="s">
        <v>25</v>
      </c>
      <c r="J44" s="3">
        <v>36171</v>
      </c>
      <c r="K44" s="1" t="s">
        <v>161</v>
      </c>
      <c r="L44" s="4">
        <v>4000000</v>
      </c>
      <c r="M44" s="4">
        <v>200000</v>
      </c>
    </row>
    <row r="45" spans="2:13">
      <c r="B45" s="1" t="s">
        <v>162</v>
      </c>
      <c r="C45" s="1" t="s">
        <v>22</v>
      </c>
      <c r="D45" s="1" t="s">
        <v>43</v>
      </c>
      <c r="E45" s="1" t="s">
        <v>17</v>
      </c>
      <c r="F45" s="1" t="s">
        <v>163</v>
      </c>
      <c r="G45" s="3">
        <v>29095</v>
      </c>
      <c r="H45" s="1">
        <v>39</v>
      </c>
      <c r="I45" s="1" t="s">
        <v>69</v>
      </c>
      <c r="J45" s="3">
        <v>39157</v>
      </c>
      <c r="K45" s="1" t="s">
        <v>164</v>
      </c>
      <c r="L45" s="4">
        <v>2700000</v>
      </c>
      <c r="M45" s="4">
        <v>100000</v>
      </c>
    </row>
    <row r="46" spans="2:13">
      <c r="B46" s="1" t="s">
        <v>165</v>
      </c>
      <c r="C46" s="1" t="s">
        <v>52</v>
      </c>
      <c r="D46" s="1" t="s">
        <v>16</v>
      </c>
      <c r="E46" s="1" t="s">
        <v>17</v>
      </c>
      <c r="F46" s="1" t="s">
        <v>166</v>
      </c>
      <c r="G46" s="3">
        <v>31247</v>
      </c>
      <c r="H46" s="1">
        <v>33</v>
      </c>
      <c r="I46" s="1" t="s">
        <v>25</v>
      </c>
      <c r="J46" s="3">
        <v>41589</v>
      </c>
      <c r="K46" s="1" t="s">
        <v>167</v>
      </c>
      <c r="L46" s="4">
        <v>2000000</v>
      </c>
      <c r="M46" s="4">
        <v>200000</v>
      </c>
    </row>
    <row r="47" spans="2:13">
      <c r="B47" s="1" t="s">
        <v>168</v>
      </c>
      <c r="C47" s="1" t="s">
        <v>169</v>
      </c>
      <c r="D47" s="1" t="s">
        <v>43</v>
      </c>
      <c r="E47" s="1" t="s">
        <v>23</v>
      </c>
      <c r="F47" s="1" t="s">
        <v>170</v>
      </c>
      <c r="G47" s="3">
        <v>30285</v>
      </c>
      <c r="H47" s="1">
        <v>36</v>
      </c>
      <c r="I47" s="1" t="s">
        <v>69</v>
      </c>
      <c r="J47" s="3">
        <v>40080</v>
      </c>
      <c r="K47" s="1" t="s">
        <v>171</v>
      </c>
      <c r="L47" s="4">
        <v>2700000</v>
      </c>
      <c r="M47" s="4">
        <v>100000</v>
      </c>
    </row>
    <row r="48" spans="2:13">
      <c r="B48" s="1" t="s">
        <v>172</v>
      </c>
      <c r="C48" s="1" t="s">
        <v>22</v>
      </c>
      <c r="D48" s="1" t="s">
        <v>60</v>
      </c>
      <c r="E48" s="1" t="s">
        <v>23</v>
      </c>
      <c r="F48" s="1" t="s">
        <v>173</v>
      </c>
      <c r="G48" s="3">
        <v>26055</v>
      </c>
      <c r="H48" s="1">
        <v>47</v>
      </c>
      <c r="I48" s="1" t="s">
        <v>45</v>
      </c>
      <c r="J48" s="3">
        <v>35727</v>
      </c>
      <c r="K48" s="1" t="s">
        <v>174</v>
      </c>
      <c r="L48" s="4">
        <v>4000000</v>
      </c>
      <c r="M48" s="4">
        <v>100000</v>
      </c>
    </row>
    <row r="49" spans="2:13">
      <c r="B49" s="1" t="s">
        <v>175</v>
      </c>
      <c r="C49" s="1" t="s">
        <v>52</v>
      </c>
      <c r="D49" s="1" t="s">
        <v>16</v>
      </c>
      <c r="E49" s="1" t="s">
        <v>17</v>
      </c>
      <c r="F49" s="1" t="s">
        <v>176</v>
      </c>
      <c r="G49" s="3">
        <v>30602</v>
      </c>
      <c r="H49" s="1">
        <v>35</v>
      </c>
      <c r="I49" s="1" t="s">
        <v>69</v>
      </c>
      <c r="J49" s="3">
        <v>40883</v>
      </c>
      <c r="K49" s="1" t="s">
        <v>177</v>
      </c>
      <c r="L49" s="4">
        <v>2000000</v>
      </c>
      <c r="M49" s="4">
        <v>200000</v>
      </c>
    </row>
    <row r="50" spans="2:13">
      <c r="B50" s="1" t="s">
        <v>178</v>
      </c>
      <c r="C50" s="1" t="s">
        <v>52</v>
      </c>
      <c r="D50" s="1" t="s">
        <v>16</v>
      </c>
      <c r="E50" s="1" t="s">
        <v>23</v>
      </c>
      <c r="F50" s="1" t="s">
        <v>179</v>
      </c>
      <c r="G50" s="3">
        <v>32313</v>
      </c>
      <c r="H50" s="1">
        <v>30</v>
      </c>
      <c r="I50" s="1" t="s">
        <v>180</v>
      </c>
      <c r="J50" s="3">
        <v>41337</v>
      </c>
      <c r="K50" s="1" t="s">
        <v>181</v>
      </c>
      <c r="L50" s="4">
        <v>2000000</v>
      </c>
      <c r="M50" s="4">
        <v>200000</v>
      </c>
    </row>
    <row r="51" spans="2:13">
      <c r="B51" s="1" t="s">
        <v>182</v>
      </c>
      <c r="C51" s="1" t="s">
        <v>28</v>
      </c>
      <c r="D51" s="1" t="s">
        <v>16</v>
      </c>
      <c r="E51" s="1" t="s">
        <v>17</v>
      </c>
      <c r="F51" s="1" t="s">
        <v>183</v>
      </c>
      <c r="G51" s="3">
        <v>30805</v>
      </c>
      <c r="H51" s="1">
        <v>34</v>
      </c>
      <c r="I51" s="1" t="s">
        <v>184</v>
      </c>
      <c r="J51" s="3">
        <v>40683</v>
      </c>
      <c r="K51" s="1" t="s">
        <v>185</v>
      </c>
      <c r="L51" s="4">
        <v>2000000</v>
      </c>
      <c r="M51" s="4">
        <v>100000</v>
      </c>
    </row>
    <row r="52" spans="2:13">
      <c r="B52" s="1" t="s">
        <v>186</v>
      </c>
      <c r="C52" s="1" t="s">
        <v>52</v>
      </c>
      <c r="D52" s="1" t="s">
        <v>60</v>
      </c>
      <c r="E52" s="1" t="s">
        <v>17</v>
      </c>
      <c r="F52" s="1" t="s">
        <v>187</v>
      </c>
      <c r="G52" s="3">
        <v>27422</v>
      </c>
      <c r="H52" s="1">
        <v>43</v>
      </c>
      <c r="I52" s="1" t="s">
        <v>34</v>
      </c>
      <c r="J52" s="3">
        <v>36843</v>
      </c>
      <c r="K52" s="1" t="s">
        <v>188</v>
      </c>
      <c r="L52" s="4">
        <v>4000000</v>
      </c>
      <c r="M52" s="4">
        <v>200000</v>
      </c>
    </row>
    <row r="53" spans="2:13">
      <c r="B53" s="1" t="s">
        <v>189</v>
      </c>
      <c r="C53" s="1" t="s">
        <v>28</v>
      </c>
      <c r="D53" s="1" t="s">
        <v>72</v>
      </c>
      <c r="E53" s="1" t="s">
        <v>17</v>
      </c>
      <c r="F53" s="1" t="s">
        <v>190</v>
      </c>
      <c r="G53" s="3">
        <v>28114</v>
      </c>
      <c r="H53" s="1">
        <v>42</v>
      </c>
      <c r="I53" s="1" t="s">
        <v>19</v>
      </c>
      <c r="J53" s="3">
        <v>37285</v>
      </c>
      <c r="K53" s="1" t="s">
        <v>191</v>
      </c>
      <c r="L53" s="4">
        <v>3500000</v>
      </c>
      <c r="M53" s="4">
        <v>100000</v>
      </c>
    </row>
    <row r="54" spans="2:13">
      <c r="B54" s="1" t="s">
        <v>192</v>
      </c>
      <c r="C54" s="1" t="s">
        <v>126</v>
      </c>
      <c r="D54" s="1" t="s">
        <v>16</v>
      </c>
      <c r="E54" s="1" t="s">
        <v>23</v>
      </c>
      <c r="F54" s="1" t="s">
        <v>193</v>
      </c>
      <c r="G54" s="3">
        <v>33386</v>
      </c>
      <c r="H54" s="1">
        <v>27</v>
      </c>
      <c r="I54" s="1" t="s">
        <v>19</v>
      </c>
      <c r="J54" s="3">
        <v>42699</v>
      </c>
      <c r="K54" s="1" t="s">
        <v>194</v>
      </c>
      <c r="L54" s="4">
        <v>2000000</v>
      </c>
      <c r="M54" s="4">
        <v>100000</v>
      </c>
    </row>
    <row r="55" spans="2:13">
      <c r="B55" s="1" t="s">
        <v>195</v>
      </c>
      <c r="C55" s="1" t="s">
        <v>52</v>
      </c>
      <c r="D55" s="1" t="s">
        <v>16</v>
      </c>
      <c r="E55" s="1" t="s">
        <v>23</v>
      </c>
      <c r="F55" s="1" t="s">
        <v>196</v>
      </c>
      <c r="G55" s="3">
        <v>32985</v>
      </c>
      <c r="H55" s="1">
        <v>28</v>
      </c>
      <c r="I55" s="1" t="s">
        <v>180</v>
      </c>
      <c r="J55" s="3">
        <v>42667</v>
      </c>
      <c r="K55" s="1" t="s">
        <v>197</v>
      </c>
      <c r="L55" s="4">
        <v>2000000</v>
      </c>
      <c r="M55" s="4">
        <v>200000</v>
      </c>
    </row>
    <row r="56" spans="2:13">
      <c r="B56" s="1" t="s">
        <v>198</v>
      </c>
      <c r="C56" s="1" t="s">
        <v>28</v>
      </c>
      <c r="D56" s="1" t="s">
        <v>43</v>
      </c>
      <c r="E56" s="1" t="s">
        <v>17</v>
      </c>
      <c r="F56" s="1" t="s">
        <v>199</v>
      </c>
      <c r="G56" s="3">
        <v>29749</v>
      </c>
      <c r="H56" s="1">
        <v>37</v>
      </c>
      <c r="I56" s="1" t="s">
        <v>34</v>
      </c>
      <c r="J56" s="3">
        <v>39605</v>
      </c>
      <c r="K56" s="1" t="s">
        <v>200</v>
      </c>
      <c r="L56" s="4">
        <v>2700000</v>
      </c>
      <c r="M56" s="4">
        <v>100000</v>
      </c>
    </row>
    <row r="57" spans="2:13">
      <c r="B57" s="1" t="s">
        <v>201</v>
      </c>
      <c r="C57" s="1" t="s">
        <v>56</v>
      </c>
      <c r="D57" s="1" t="s">
        <v>43</v>
      </c>
      <c r="E57" s="1" t="s">
        <v>17</v>
      </c>
      <c r="F57" s="1" t="s">
        <v>202</v>
      </c>
      <c r="G57" s="3">
        <v>30539</v>
      </c>
      <c r="H57" s="1">
        <v>35</v>
      </c>
      <c r="I57" s="1" t="s">
        <v>62</v>
      </c>
      <c r="J57" s="3">
        <v>40240</v>
      </c>
      <c r="K57" s="1" t="s">
        <v>203</v>
      </c>
      <c r="L57" s="4">
        <v>2700000</v>
      </c>
      <c r="M57" s="4">
        <v>100000</v>
      </c>
    </row>
    <row r="58" spans="2:13">
      <c r="B58" s="1" t="s">
        <v>204</v>
      </c>
      <c r="C58" s="1" t="s">
        <v>42</v>
      </c>
      <c r="D58" s="1" t="s">
        <v>43</v>
      </c>
      <c r="E58" s="1" t="s">
        <v>17</v>
      </c>
      <c r="F58" s="1" t="s">
        <v>205</v>
      </c>
      <c r="G58" s="3">
        <v>30334</v>
      </c>
      <c r="H58" s="1">
        <v>35</v>
      </c>
      <c r="I58" s="1" t="s">
        <v>74</v>
      </c>
      <c r="J58" s="3">
        <v>39542</v>
      </c>
      <c r="K58" s="1" t="s">
        <v>206</v>
      </c>
      <c r="L58" s="4">
        <v>2700000</v>
      </c>
      <c r="M58" s="4">
        <v>200000</v>
      </c>
    </row>
    <row r="59" spans="2:13">
      <c r="B59" s="1" t="s">
        <v>207</v>
      </c>
      <c r="C59" s="1" t="s">
        <v>126</v>
      </c>
      <c r="D59" s="1" t="s">
        <v>43</v>
      </c>
      <c r="E59" s="1" t="s">
        <v>17</v>
      </c>
      <c r="F59" s="1" t="s">
        <v>208</v>
      </c>
      <c r="G59" s="3">
        <v>30653</v>
      </c>
      <c r="H59" s="1">
        <v>35</v>
      </c>
      <c r="I59" s="1" t="s">
        <v>19</v>
      </c>
      <c r="J59" s="3">
        <v>40765</v>
      </c>
      <c r="K59" s="1" t="s">
        <v>209</v>
      </c>
      <c r="L59" s="4">
        <v>2700000</v>
      </c>
      <c r="M59" s="4">
        <v>100000</v>
      </c>
    </row>
    <row r="60" spans="2:13">
      <c r="B60" s="1" t="s">
        <v>210</v>
      </c>
      <c r="C60" s="1" t="s">
        <v>15</v>
      </c>
      <c r="D60" s="1" t="s">
        <v>43</v>
      </c>
      <c r="E60" s="1" t="s">
        <v>17</v>
      </c>
      <c r="F60" s="1" t="s">
        <v>211</v>
      </c>
      <c r="G60" s="3">
        <v>28611</v>
      </c>
      <c r="H60" s="1">
        <v>40</v>
      </c>
      <c r="I60" s="1" t="s">
        <v>39</v>
      </c>
      <c r="J60" s="3">
        <v>38912</v>
      </c>
      <c r="K60" s="1" t="s">
        <v>212</v>
      </c>
      <c r="L60" s="4">
        <v>2700000</v>
      </c>
      <c r="M60" s="4">
        <v>100000</v>
      </c>
    </row>
    <row r="61" spans="2:13">
      <c r="B61" s="1" t="s">
        <v>213</v>
      </c>
      <c r="C61" s="1" t="s">
        <v>28</v>
      </c>
      <c r="D61" s="1" t="s">
        <v>60</v>
      </c>
      <c r="E61" s="1" t="s">
        <v>17</v>
      </c>
      <c r="F61" s="1" t="s">
        <v>214</v>
      </c>
      <c r="G61" s="3">
        <v>26709</v>
      </c>
      <c r="H61" s="1">
        <v>45</v>
      </c>
      <c r="I61" s="1" t="s">
        <v>25</v>
      </c>
      <c r="J61" s="3">
        <v>37152</v>
      </c>
      <c r="K61" s="1" t="s">
        <v>215</v>
      </c>
      <c r="L61" s="4">
        <v>4000000</v>
      </c>
      <c r="M61" s="4">
        <v>100000</v>
      </c>
    </row>
    <row r="62" spans="2:13">
      <c r="B62" s="1" t="s">
        <v>216</v>
      </c>
      <c r="C62" s="1" t="s">
        <v>48</v>
      </c>
      <c r="D62" s="1" t="s">
        <v>43</v>
      </c>
      <c r="E62" s="1" t="s">
        <v>17</v>
      </c>
      <c r="F62" s="1" t="s">
        <v>217</v>
      </c>
      <c r="G62" s="3">
        <v>30341</v>
      </c>
      <c r="H62" s="1">
        <v>35</v>
      </c>
      <c r="I62" s="1" t="s">
        <v>62</v>
      </c>
      <c r="J62" s="3">
        <v>39779</v>
      </c>
      <c r="K62" s="1" t="s">
        <v>218</v>
      </c>
      <c r="L62" s="4">
        <v>2700000</v>
      </c>
      <c r="M62" s="4">
        <v>100000</v>
      </c>
    </row>
    <row r="63" spans="2:13">
      <c r="B63" s="1" t="s">
        <v>219</v>
      </c>
      <c r="C63" s="1" t="s">
        <v>48</v>
      </c>
      <c r="D63" s="1" t="s">
        <v>43</v>
      </c>
      <c r="E63" s="1" t="s">
        <v>17</v>
      </c>
      <c r="F63" s="1" t="s">
        <v>220</v>
      </c>
      <c r="G63" s="3">
        <v>30597</v>
      </c>
      <c r="H63" s="1">
        <v>35</v>
      </c>
      <c r="I63" s="1" t="s">
        <v>69</v>
      </c>
      <c r="J63" s="3">
        <v>40200</v>
      </c>
      <c r="K63" s="1" t="s">
        <v>221</v>
      </c>
      <c r="L63" s="4">
        <v>2700000</v>
      </c>
      <c r="M63" s="4">
        <v>100000</v>
      </c>
    </row>
    <row r="64" spans="2:13">
      <c r="B64" s="1" t="s">
        <v>222</v>
      </c>
      <c r="C64" s="1" t="s">
        <v>48</v>
      </c>
      <c r="D64" s="1" t="s">
        <v>43</v>
      </c>
      <c r="E64" s="1" t="s">
        <v>17</v>
      </c>
      <c r="F64" s="1" t="s">
        <v>223</v>
      </c>
      <c r="G64" s="3">
        <v>31498</v>
      </c>
      <c r="H64" s="1">
        <v>32</v>
      </c>
      <c r="I64" s="1" t="s">
        <v>89</v>
      </c>
      <c r="J64" s="3">
        <v>41030</v>
      </c>
      <c r="K64" s="1" t="s">
        <v>224</v>
      </c>
      <c r="L64" s="4">
        <v>2700000</v>
      </c>
      <c r="M64" s="4">
        <v>100000</v>
      </c>
    </row>
    <row r="65" spans="2:13">
      <c r="B65" s="1" t="s">
        <v>225</v>
      </c>
      <c r="C65" s="1" t="s">
        <v>126</v>
      </c>
      <c r="D65" s="1" t="s">
        <v>60</v>
      </c>
      <c r="E65" s="1" t="s">
        <v>23</v>
      </c>
      <c r="F65" s="1" t="s">
        <v>226</v>
      </c>
      <c r="G65" s="3">
        <v>26589</v>
      </c>
      <c r="H65" s="1">
        <v>46</v>
      </c>
      <c r="I65" s="1" t="s">
        <v>89</v>
      </c>
      <c r="J65" s="3">
        <v>36255</v>
      </c>
      <c r="K65" s="1" t="s">
        <v>227</v>
      </c>
      <c r="L65" s="4">
        <v>4000000</v>
      </c>
      <c r="M65" s="4">
        <v>100000</v>
      </c>
    </row>
    <row r="66" spans="2:13">
      <c r="B66" s="1" t="s">
        <v>228</v>
      </c>
      <c r="C66" s="1" t="s">
        <v>169</v>
      </c>
      <c r="D66" s="1" t="s">
        <v>37</v>
      </c>
      <c r="E66" s="1" t="s">
        <v>17</v>
      </c>
      <c r="F66" s="1" t="s">
        <v>229</v>
      </c>
      <c r="G66" s="3">
        <v>26335</v>
      </c>
      <c r="H66" s="1">
        <v>46</v>
      </c>
      <c r="I66" s="1" t="s">
        <v>30</v>
      </c>
      <c r="J66" s="3">
        <v>36419</v>
      </c>
      <c r="K66" s="1" t="s">
        <v>230</v>
      </c>
      <c r="L66" s="4">
        <v>5000000</v>
      </c>
      <c r="M66" s="4">
        <v>100000</v>
      </c>
    </row>
    <row r="67" spans="2:13">
      <c r="B67" s="1" t="s">
        <v>231</v>
      </c>
      <c r="C67" s="1" t="s">
        <v>52</v>
      </c>
      <c r="D67" s="1" t="s">
        <v>72</v>
      </c>
      <c r="E67" s="1" t="s">
        <v>17</v>
      </c>
      <c r="F67" s="1" t="s">
        <v>232</v>
      </c>
      <c r="G67" s="3">
        <v>29875</v>
      </c>
      <c r="H67" s="1">
        <v>37</v>
      </c>
      <c r="I67" s="1" t="s">
        <v>62</v>
      </c>
      <c r="J67" s="3">
        <v>38847</v>
      </c>
      <c r="K67" s="1" t="s">
        <v>233</v>
      </c>
      <c r="L67" s="4">
        <v>3500000</v>
      </c>
      <c r="M67" s="4">
        <v>200000</v>
      </c>
    </row>
    <row r="68" spans="2:13">
      <c r="B68" s="1" t="s">
        <v>234</v>
      </c>
      <c r="C68" s="1" t="s">
        <v>126</v>
      </c>
      <c r="D68" s="1" t="s">
        <v>72</v>
      </c>
      <c r="E68" s="1" t="s">
        <v>23</v>
      </c>
      <c r="F68" s="1" t="s">
        <v>235</v>
      </c>
      <c r="G68" s="3">
        <v>29135</v>
      </c>
      <c r="H68" s="1">
        <v>39</v>
      </c>
      <c r="I68" s="1" t="s">
        <v>69</v>
      </c>
      <c r="J68" s="3">
        <v>38987</v>
      </c>
      <c r="K68" s="1" t="s">
        <v>236</v>
      </c>
      <c r="L68" s="4">
        <v>3500000</v>
      </c>
      <c r="M68" s="4">
        <v>100000</v>
      </c>
    </row>
    <row r="69" spans="2:13">
      <c r="B69" s="1" t="s">
        <v>237</v>
      </c>
      <c r="C69" s="1" t="s">
        <v>56</v>
      </c>
      <c r="D69" s="1" t="s">
        <v>16</v>
      </c>
      <c r="E69" s="1" t="s">
        <v>23</v>
      </c>
      <c r="F69" s="1" t="s">
        <v>238</v>
      </c>
      <c r="G69" s="3">
        <v>31441</v>
      </c>
      <c r="H69" s="1">
        <v>32</v>
      </c>
      <c r="I69" s="1" t="s">
        <v>69</v>
      </c>
      <c r="J69" s="3">
        <v>41157</v>
      </c>
      <c r="K69" s="1" t="s">
        <v>239</v>
      </c>
      <c r="L69" s="4">
        <v>2000000</v>
      </c>
      <c r="M69" s="4">
        <v>100000</v>
      </c>
    </row>
    <row r="70" spans="2:13">
      <c r="B70" s="1" t="s">
        <v>240</v>
      </c>
      <c r="C70" s="1" t="s">
        <v>56</v>
      </c>
      <c r="D70" s="1" t="s">
        <v>72</v>
      </c>
      <c r="E70" s="1" t="s">
        <v>17</v>
      </c>
      <c r="F70" s="1" t="s">
        <v>241</v>
      </c>
      <c r="G70" s="3">
        <v>28944</v>
      </c>
      <c r="H70" s="1">
        <v>39</v>
      </c>
      <c r="I70" s="1" t="s">
        <v>30</v>
      </c>
      <c r="J70" s="3">
        <v>38828</v>
      </c>
      <c r="K70" s="1" t="s">
        <v>242</v>
      </c>
      <c r="L70" s="4">
        <v>3500000</v>
      </c>
      <c r="M70" s="4">
        <v>100000</v>
      </c>
    </row>
    <row r="71" spans="2:13">
      <c r="B71" s="1" t="s">
        <v>243</v>
      </c>
      <c r="C71" s="1" t="s">
        <v>42</v>
      </c>
      <c r="D71" s="1" t="s">
        <v>37</v>
      </c>
      <c r="E71" s="1" t="s">
        <v>17</v>
      </c>
      <c r="F71" s="1" t="s">
        <v>244</v>
      </c>
      <c r="G71" s="3">
        <v>26188</v>
      </c>
      <c r="H71" s="1">
        <v>47</v>
      </c>
      <c r="I71" s="1" t="s">
        <v>245</v>
      </c>
      <c r="J71" s="3">
        <v>36441</v>
      </c>
      <c r="K71" s="1" t="s">
        <v>246</v>
      </c>
      <c r="L71" s="4">
        <v>5000000</v>
      </c>
      <c r="M71" s="4">
        <v>200000</v>
      </c>
    </row>
    <row r="72" spans="2:13">
      <c r="B72" s="1" t="s">
        <v>247</v>
      </c>
      <c r="C72" s="1" t="s">
        <v>48</v>
      </c>
      <c r="D72" s="1" t="s">
        <v>37</v>
      </c>
      <c r="E72" s="1" t="s">
        <v>17</v>
      </c>
      <c r="F72" s="1" t="s">
        <v>248</v>
      </c>
      <c r="G72" s="3">
        <v>25980</v>
      </c>
      <c r="H72" s="1">
        <v>47</v>
      </c>
      <c r="I72" s="1" t="s">
        <v>62</v>
      </c>
      <c r="J72" s="3">
        <v>35908</v>
      </c>
      <c r="K72" s="1" t="s">
        <v>249</v>
      </c>
      <c r="L72" s="4">
        <v>5000000</v>
      </c>
      <c r="M72" s="4">
        <v>100000</v>
      </c>
    </row>
    <row r="73" spans="2:13">
      <c r="B73" s="1" t="s">
        <v>250</v>
      </c>
      <c r="C73" s="1" t="s">
        <v>169</v>
      </c>
      <c r="D73" s="1" t="s">
        <v>16</v>
      </c>
      <c r="E73" s="1" t="s">
        <v>17</v>
      </c>
      <c r="F73" s="1" t="s">
        <v>251</v>
      </c>
      <c r="G73" s="3">
        <v>31442</v>
      </c>
      <c r="H73" s="1">
        <v>32</v>
      </c>
      <c r="I73" s="1" t="s">
        <v>184</v>
      </c>
      <c r="J73" s="3">
        <v>41765</v>
      </c>
      <c r="K73" s="1" t="s">
        <v>252</v>
      </c>
      <c r="L73" s="4">
        <v>2000000</v>
      </c>
      <c r="M73" s="4">
        <v>100000</v>
      </c>
    </row>
    <row r="74" spans="2:13">
      <c r="B74" s="1" t="s">
        <v>253</v>
      </c>
      <c r="C74" s="1" t="s">
        <v>15</v>
      </c>
      <c r="D74" s="1" t="s">
        <v>43</v>
      </c>
      <c r="E74" s="1" t="s">
        <v>17</v>
      </c>
      <c r="F74" s="1" t="s">
        <v>254</v>
      </c>
      <c r="G74" s="3">
        <v>29408</v>
      </c>
      <c r="H74" s="1">
        <v>38</v>
      </c>
      <c r="I74" s="1" t="s">
        <v>25</v>
      </c>
      <c r="J74" s="3">
        <v>38889</v>
      </c>
      <c r="K74" s="1" t="s">
        <v>255</v>
      </c>
      <c r="L74" s="4">
        <v>2700000</v>
      </c>
      <c r="M74" s="4">
        <v>100000</v>
      </c>
    </row>
    <row r="75" spans="2:13">
      <c r="B75" s="1" t="s">
        <v>256</v>
      </c>
      <c r="C75" s="1" t="s">
        <v>48</v>
      </c>
      <c r="D75" s="1" t="s">
        <v>16</v>
      </c>
      <c r="E75" s="1" t="s">
        <v>17</v>
      </c>
      <c r="F75" s="1" t="s">
        <v>257</v>
      </c>
      <c r="G75" s="3">
        <v>32481</v>
      </c>
      <c r="H75" s="1">
        <v>30</v>
      </c>
      <c r="I75" s="1" t="s">
        <v>258</v>
      </c>
      <c r="J75" s="3">
        <v>41873</v>
      </c>
      <c r="K75" s="1" t="s">
        <v>259</v>
      </c>
      <c r="L75" s="4">
        <v>2000000</v>
      </c>
      <c r="M75" s="4">
        <v>100000</v>
      </c>
    </row>
    <row r="76" spans="2:13">
      <c r="B76" s="1" t="s">
        <v>260</v>
      </c>
      <c r="C76" s="1" t="s">
        <v>42</v>
      </c>
      <c r="D76" s="1" t="s">
        <v>43</v>
      </c>
      <c r="E76" s="1" t="s">
        <v>17</v>
      </c>
      <c r="F76" s="1" t="s">
        <v>261</v>
      </c>
      <c r="G76" s="3">
        <v>29905</v>
      </c>
      <c r="H76" s="1">
        <v>37</v>
      </c>
      <c r="I76" s="1" t="s">
        <v>39</v>
      </c>
      <c r="J76" s="3">
        <v>40102</v>
      </c>
      <c r="K76" s="1" t="s">
        <v>262</v>
      </c>
      <c r="L76" s="4">
        <v>2700000</v>
      </c>
      <c r="M76" s="4">
        <v>200000</v>
      </c>
    </row>
    <row r="77" spans="2:13">
      <c r="B77" s="1" t="s">
        <v>263</v>
      </c>
      <c r="C77" s="1" t="s">
        <v>42</v>
      </c>
      <c r="D77" s="1" t="s">
        <v>16</v>
      </c>
      <c r="E77" s="1" t="s">
        <v>17</v>
      </c>
      <c r="F77" s="1" t="s">
        <v>264</v>
      </c>
      <c r="G77" s="3">
        <v>31600</v>
      </c>
      <c r="H77" s="1">
        <v>32</v>
      </c>
      <c r="I77" s="1" t="s">
        <v>265</v>
      </c>
      <c r="J77" s="3">
        <v>41914</v>
      </c>
      <c r="K77" s="1" t="s">
        <v>266</v>
      </c>
      <c r="L77" s="4">
        <v>2000000</v>
      </c>
      <c r="M77" s="4">
        <v>200000</v>
      </c>
    </row>
    <row r="78" spans="2:13">
      <c r="B78" s="1" t="s">
        <v>267</v>
      </c>
      <c r="C78" s="1" t="s">
        <v>169</v>
      </c>
      <c r="D78" s="1" t="s">
        <v>72</v>
      </c>
      <c r="E78" s="1" t="s">
        <v>17</v>
      </c>
      <c r="F78" s="1" t="s">
        <v>268</v>
      </c>
      <c r="G78" s="3">
        <v>28121</v>
      </c>
      <c r="H78" s="1">
        <v>42</v>
      </c>
      <c r="I78" s="1" t="s">
        <v>45</v>
      </c>
      <c r="J78" s="3">
        <v>37237</v>
      </c>
      <c r="K78" s="1" t="s">
        <v>269</v>
      </c>
      <c r="L78" s="4">
        <v>3500000</v>
      </c>
      <c r="M78" s="4">
        <v>100000</v>
      </c>
    </row>
    <row r="79" spans="2:13">
      <c r="B79" s="1" t="s">
        <v>270</v>
      </c>
      <c r="C79" s="1" t="s">
        <v>48</v>
      </c>
      <c r="D79" s="1" t="s">
        <v>16</v>
      </c>
      <c r="E79" s="1" t="s">
        <v>17</v>
      </c>
      <c r="F79" s="1" t="s">
        <v>271</v>
      </c>
      <c r="G79" s="3">
        <v>32876</v>
      </c>
      <c r="H79" s="1">
        <v>28</v>
      </c>
      <c r="I79" s="1" t="s">
        <v>265</v>
      </c>
      <c r="J79" s="3">
        <v>42951</v>
      </c>
      <c r="K79" s="1" t="s">
        <v>272</v>
      </c>
      <c r="L79" s="4">
        <v>2000000</v>
      </c>
      <c r="M79" s="4">
        <v>100000</v>
      </c>
    </row>
    <row r="80" spans="2:13">
      <c r="B80" s="1" t="s">
        <v>273</v>
      </c>
      <c r="C80" s="1" t="s">
        <v>56</v>
      </c>
      <c r="D80" s="1" t="s">
        <v>16</v>
      </c>
      <c r="E80" s="1" t="s">
        <v>23</v>
      </c>
      <c r="F80" s="1" t="s">
        <v>274</v>
      </c>
      <c r="G80" s="3">
        <v>33067</v>
      </c>
      <c r="H80" s="1">
        <v>28</v>
      </c>
      <c r="I80" s="1" t="s">
        <v>184</v>
      </c>
      <c r="J80" s="3">
        <v>42352</v>
      </c>
      <c r="K80" s="1" t="s">
        <v>275</v>
      </c>
      <c r="L80" s="4">
        <v>2000000</v>
      </c>
      <c r="M80" s="4">
        <v>100000</v>
      </c>
    </row>
  </sheetData>
  <mergeCells count="1">
    <mergeCell ref="B2:M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8D60-F03A-4B1E-93A7-D7852D590290}">
  <sheetPr codeName="Sheet3"/>
  <dimension ref="B2:O9"/>
  <sheetViews>
    <sheetView tabSelected="1" workbookViewId="0">
      <selection activeCell="O13" sqref="O13"/>
    </sheetView>
  </sheetViews>
  <sheetFormatPr defaultRowHeight="16.5"/>
  <cols>
    <col min="1" max="1" width="2.875" customWidth="1"/>
    <col min="2" max="3" width="7.125" bestFit="1" customWidth="1"/>
    <col min="4" max="5" width="5.25" bestFit="1" customWidth="1"/>
    <col min="6" max="6" width="14.125" bestFit="1" customWidth="1"/>
    <col min="7" max="7" width="11.125" bestFit="1" customWidth="1"/>
    <col min="8" max="8" width="5.25" bestFit="1" customWidth="1"/>
    <col min="9" max="9" width="15.875" bestFit="1" customWidth="1"/>
    <col min="10" max="10" width="11.125" bestFit="1" customWidth="1"/>
    <col min="11" max="11" width="14.125" bestFit="1" customWidth="1"/>
    <col min="12" max="12" width="10.875" bestFit="1" customWidth="1"/>
    <col min="13" max="13" width="11" bestFit="1" customWidth="1"/>
    <col min="14" max="14" width="2.375" customWidth="1"/>
    <col min="15" max="15" width="13" customWidth="1"/>
  </cols>
  <sheetData>
    <row r="2" spans="2:15"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O2" s="2" t="s">
        <v>3</v>
      </c>
    </row>
    <row r="3" spans="2:15">
      <c r="B3" s="14" t="s">
        <v>14</v>
      </c>
      <c r="C3" s="14" t="s">
        <v>15</v>
      </c>
      <c r="D3" s="14" t="s">
        <v>16</v>
      </c>
      <c r="E3" s="14" t="s">
        <v>17</v>
      </c>
      <c r="F3" s="14" t="s">
        <v>18</v>
      </c>
      <c r="G3" s="3">
        <v>33096</v>
      </c>
      <c r="H3" s="14">
        <v>28</v>
      </c>
      <c r="I3" s="14" t="s">
        <v>19</v>
      </c>
      <c r="J3" s="3">
        <v>42830</v>
      </c>
      <c r="K3" s="14" t="s">
        <v>20</v>
      </c>
      <c r="L3" s="4">
        <v>2000000</v>
      </c>
      <c r="M3" s="4">
        <v>100000</v>
      </c>
      <c r="O3" s="1" t="s">
        <v>15</v>
      </c>
    </row>
    <row r="4" spans="2:15">
      <c r="B4" s="14" t="s">
        <v>67</v>
      </c>
      <c r="C4" s="14" t="s">
        <v>15</v>
      </c>
      <c r="D4" s="14" t="s">
        <v>37</v>
      </c>
      <c r="E4" s="14" t="s">
        <v>23</v>
      </c>
      <c r="F4" s="14" t="s">
        <v>68</v>
      </c>
      <c r="G4" s="3">
        <v>26558</v>
      </c>
      <c r="H4" s="14">
        <v>46</v>
      </c>
      <c r="I4" s="14" t="s">
        <v>69</v>
      </c>
      <c r="J4" s="3">
        <v>35786</v>
      </c>
      <c r="K4" s="14" t="s">
        <v>70</v>
      </c>
      <c r="L4" s="4">
        <v>5000000</v>
      </c>
      <c r="M4" s="4">
        <v>100000</v>
      </c>
    </row>
    <row r="5" spans="2:15">
      <c r="B5" s="14" t="s">
        <v>87</v>
      </c>
      <c r="C5" s="14" t="s">
        <v>15</v>
      </c>
      <c r="D5" s="14" t="s">
        <v>16</v>
      </c>
      <c r="E5" s="14" t="s">
        <v>23</v>
      </c>
      <c r="F5" s="14" t="s">
        <v>88</v>
      </c>
      <c r="G5" s="3">
        <v>30818</v>
      </c>
      <c r="H5" s="14">
        <v>34</v>
      </c>
      <c r="I5" s="14" t="s">
        <v>89</v>
      </c>
      <c r="J5" s="3">
        <v>40869</v>
      </c>
      <c r="K5" s="14" t="s">
        <v>90</v>
      </c>
      <c r="L5" s="4">
        <v>2000000</v>
      </c>
      <c r="M5" s="4">
        <v>100000</v>
      </c>
    </row>
    <row r="6" spans="2:15">
      <c r="B6" s="14" t="s">
        <v>98</v>
      </c>
      <c r="C6" s="14" t="s">
        <v>15</v>
      </c>
      <c r="D6" s="14" t="s">
        <v>60</v>
      </c>
      <c r="E6" s="14" t="s">
        <v>17</v>
      </c>
      <c r="F6" s="14" t="s">
        <v>99</v>
      </c>
      <c r="G6" s="3">
        <v>26499</v>
      </c>
      <c r="H6" s="14">
        <v>46</v>
      </c>
      <c r="I6" s="14" t="s">
        <v>19</v>
      </c>
      <c r="J6" s="3">
        <v>35613</v>
      </c>
      <c r="K6" s="14" t="s">
        <v>100</v>
      </c>
      <c r="L6" s="4">
        <v>4000000</v>
      </c>
      <c r="M6" s="4">
        <v>100000</v>
      </c>
    </row>
    <row r="7" spans="2:15">
      <c r="B7" s="14" t="s">
        <v>153</v>
      </c>
      <c r="C7" s="14" t="s">
        <v>15</v>
      </c>
      <c r="D7" s="14" t="s">
        <v>72</v>
      </c>
      <c r="E7" s="14" t="s">
        <v>17</v>
      </c>
      <c r="F7" s="14" t="s">
        <v>154</v>
      </c>
      <c r="G7" s="3">
        <v>29040</v>
      </c>
      <c r="H7" s="14">
        <v>39</v>
      </c>
      <c r="I7" s="14" t="s">
        <v>74</v>
      </c>
      <c r="J7" s="3">
        <v>38660</v>
      </c>
      <c r="K7" s="14" t="s">
        <v>155</v>
      </c>
      <c r="L7" s="4">
        <v>3500000</v>
      </c>
      <c r="M7" s="4">
        <v>100000</v>
      </c>
    </row>
    <row r="8" spans="2:15">
      <c r="B8" s="14" t="s">
        <v>210</v>
      </c>
      <c r="C8" s="14" t="s">
        <v>15</v>
      </c>
      <c r="D8" s="14" t="s">
        <v>43</v>
      </c>
      <c r="E8" s="14" t="s">
        <v>17</v>
      </c>
      <c r="F8" s="14" t="s">
        <v>211</v>
      </c>
      <c r="G8" s="3">
        <v>28611</v>
      </c>
      <c r="H8" s="14">
        <v>40</v>
      </c>
      <c r="I8" s="14" t="s">
        <v>39</v>
      </c>
      <c r="J8" s="3">
        <v>38912</v>
      </c>
      <c r="K8" s="14" t="s">
        <v>212</v>
      </c>
      <c r="L8" s="4">
        <v>2700000</v>
      </c>
      <c r="M8" s="4">
        <v>100000</v>
      </c>
    </row>
    <row r="9" spans="2:15">
      <c r="B9" s="14" t="s">
        <v>253</v>
      </c>
      <c r="C9" s="14" t="s">
        <v>15</v>
      </c>
      <c r="D9" s="14" t="s">
        <v>43</v>
      </c>
      <c r="E9" s="14" t="s">
        <v>17</v>
      </c>
      <c r="F9" s="14" t="s">
        <v>254</v>
      </c>
      <c r="G9" s="3">
        <v>29408</v>
      </c>
      <c r="H9" s="14">
        <v>38</v>
      </c>
      <c r="I9" s="14" t="s">
        <v>25</v>
      </c>
      <c r="J9" s="3">
        <v>38889</v>
      </c>
      <c r="K9" s="14" t="s">
        <v>255</v>
      </c>
      <c r="L9" s="4">
        <v>2700000</v>
      </c>
      <c r="M9" s="4">
        <v>100000</v>
      </c>
    </row>
  </sheetData>
  <phoneticPr fontId="2" type="noConversion"/>
  <dataValidations count="1">
    <dataValidation type="list" allowBlank="1" showInputMessage="1" showErrorMessage="1" sqref="O3" xr:uid="{1187FECD-C486-447A-8F2A-362CAD1761FC}">
      <formula1>"구매팀,기획팀,생산관리팀,영업1팀,경영정보팀,영업2팀,개발팀,총무팀,운영팀,홍보팀"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1B328-1E3D-40C7-9286-C5D74F87495B}">
  <sheetPr codeName="Sheet4"/>
  <dimension ref="B1:F32"/>
  <sheetViews>
    <sheetView view="pageLayout" zoomScaleNormal="100" workbookViewId="0">
      <selection activeCell="C11" sqref="C11:D11"/>
    </sheetView>
  </sheetViews>
  <sheetFormatPr defaultRowHeight="16.5"/>
  <cols>
    <col min="1" max="1" width="1.25" style="5" customWidth="1"/>
    <col min="2" max="2" width="15.75" style="5" customWidth="1"/>
    <col min="3" max="3" width="15" style="5" customWidth="1"/>
    <col min="4" max="4" width="17.125" style="5" customWidth="1"/>
    <col min="5" max="5" width="16.5" style="5" customWidth="1"/>
    <col min="6" max="6" width="16" style="5" customWidth="1"/>
    <col min="7" max="16384" width="9" style="5"/>
  </cols>
  <sheetData>
    <row r="1" spans="2:6" ht="38.25">
      <c r="B1" s="39" t="s">
        <v>276</v>
      </c>
      <c r="C1" s="39"/>
      <c r="D1" s="39"/>
      <c r="E1" s="39"/>
      <c r="F1" s="39"/>
    </row>
    <row r="2" spans="2:6" ht="38.25">
      <c r="B2" s="6"/>
      <c r="C2" s="6"/>
      <c r="D2" s="6"/>
      <c r="E2" s="6"/>
      <c r="F2" s="6"/>
    </row>
    <row r="3" spans="2:6" ht="17.25">
      <c r="B3" s="37" t="s">
        <v>277</v>
      </c>
      <c r="C3" s="37"/>
      <c r="D3" s="37"/>
      <c r="E3" s="37"/>
      <c r="F3" s="37"/>
    </row>
    <row r="4" spans="2:6" ht="24">
      <c r="B4" s="40" t="s">
        <v>278</v>
      </c>
      <c r="C4" s="7" t="s">
        <v>279</v>
      </c>
      <c r="D4" s="8" t="s">
        <v>280</v>
      </c>
      <c r="E4" s="9" t="s">
        <v>281</v>
      </c>
      <c r="F4" s="8"/>
    </row>
    <row r="5" spans="2:6">
      <c r="B5" s="40"/>
      <c r="C5" s="7" t="s">
        <v>282</v>
      </c>
      <c r="D5" s="8" t="s">
        <v>283</v>
      </c>
      <c r="E5" s="10" t="s">
        <v>284</v>
      </c>
      <c r="F5" s="8" t="s">
        <v>285</v>
      </c>
    </row>
    <row r="6" spans="2:6">
      <c r="B6" s="40"/>
      <c r="C6" s="7" t="s">
        <v>286</v>
      </c>
      <c r="D6" s="41" t="s">
        <v>287</v>
      </c>
      <c r="E6" s="41"/>
      <c r="F6" s="41"/>
    </row>
    <row r="7" spans="2:6">
      <c r="B7" s="40" t="s">
        <v>288</v>
      </c>
      <c r="C7" s="7" t="s">
        <v>279</v>
      </c>
      <c r="D7" s="8" t="s">
        <v>55</v>
      </c>
      <c r="E7" s="10" t="s">
        <v>289</v>
      </c>
      <c r="F7" s="11" t="str">
        <f>IFERROR(VLOOKUP($D$7,사원명부1,MATCH(E7,필드명_사원명부1,0),0),"")</f>
        <v/>
      </c>
    </row>
    <row r="8" spans="2:6">
      <c r="B8" s="40"/>
      <c r="C8" s="7" t="s">
        <v>290</v>
      </c>
      <c r="D8" s="8" t="str">
        <f>IFERROR(VLOOKUP($D$7,사원명부1,MATCH(C8,필드명_사원명부1,0),0),"")</f>
        <v/>
      </c>
      <c r="E8" s="12" t="s">
        <v>291</v>
      </c>
      <c r="F8" s="8" t="str">
        <f>IFERROR(VLOOKUP($D$7,사원명부1,MATCH(E8,필드명_사원명부1,0),0),"")</f>
        <v/>
      </c>
    </row>
    <row r="9" spans="2:6" ht="7.5" customHeight="1"/>
    <row r="10" spans="2:6" ht="17.25">
      <c r="B10" s="37" t="s">
        <v>292</v>
      </c>
      <c r="C10" s="37"/>
      <c r="D10" s="37"/>
      <c r="E10" s="37"/>
      <c r="F10" s="37"/>
    </row>
    <row r="11" spans="2:6">
      <c r="B11" s="13" t="s">
        <v>293</v>
      </c>
      <c r="C11" s="38" t="s">
        <v>294</v>
      </c>
      <c r="D11" s="38"/>
      <c r="E11" s="13" t="s">
        <v>295</v>
      </c>
      <c r="F11" s="15" t="s">
        <v>296</v>
      </c>
    </row>
    <row r="12" spans="2:6">
      <c r="B12" s="13" t="s">
        <v>297</v>
      </c>
      <c r="C12" s="38" t="s">
        <v>298</v>
      </c>
      <c r="D12" s="38"/>
      <c r="E12" s="16" t="s">
        <v>299</v>
      </c>
      <c r="F12" s="15" t="s">
        <v>300</v>
      </c>
    </row>
    <row r="13" spans="2:6" ht="7.5" customHeight="1">
      <c r="B13" s="17"/>
      <c r="C13" s="17"/>
      <c r="D13" s="17"/>
      <c r="E13" s="17"/>
      <c r="F13" s="17"/>
    </row>
    <row r="14" spans="2:6" ht="17.25">
      <c r="B14" s="37" t="s">
        <v>301</v>
      </c>
      <c r="C14" s="37"/>
      <c r="D14" s="37"/>
      <c r="E14" s="37"/>
      <c r="F14" s="37"/>
    </row>
    <row r="15" spans="2:6">
      <c r="B15" s="18" t="s">
        <v>302</v>
      </c>
      <c r="C15" s="30"/>
      <c r="D15" s="30"/>
      <c r="E15" s="18" t="s">
        <v>303</v>
      </c>
      <c r="F15" s="19" t="s">
        <v>304</v>
      </c>
    </row>
    <row r="16" spans="2:6">
      <c r="B16" s="18" t="s">
        <v>305</v>
      </c>
      <c r="C16" s="30"/>
      <c r="D16" s="30"/>
      <c r="E16" s="18" t="s">
        <v>306</v>
      </c>
      <c r="F16" s="20"/>
    </row>
    <row r="17" spans="2:6">
      <c r="B17" s="18" t="s">
        <v>307</v>
      </c>
      <c r="C17" s="30" t="s">
        <v>308</v>
      </c>
      <c r="D17" s="30"/>
      <c r="E17" s="30"/>
      <c r="F17" s="30"/>
    </row>
    <row r="18" spans="2:6" ht="25.5" customHeight="1">
      <c r="B18" s="34" t="s">
        <v>309</v>
      </c>
      <c r="C18" s="21" t="s">
        <v>310</v>
      </c>
      <c r="D18" s="35" t="s">
        <v>311</v>
      </c>
      <c r="E18" s="35"/>
      <c r="F18" s="35"/>
    </row>
    <row r="19" spans="2:6" ht="25.5" customHeight="1">
      <c r="B19" s="34"/>
      <c r="C19" s="21" t="s">
        <v>312</v>
      </c>
      <c r="D19" s="36" t="s">
        <v>313</v>
      </c>
      <c r="E19" s="36"/>
      <c r="F19" s="36"/>
    </row>
    <row r="20" spans="2:6">
      <c r="B20" s="18" t="s">
        <v>314</v>
      </c>
      <c r="C20" s="13" t="s">
        <v>315</v>
      </c>
      <c r="D20" s="19" t="s">
        <v>316</v>
      </c>
      <c r="E20" s="13" t="s">
        <v>317</v>
      </c>
      <c r="F20" s="19" t="s">
        <v>318</v>
      </c>
    </row>
    <row r="21" spans="2:6">
      <c r="B21" s="18" t="s">
        <v>317</v>
      </c>
      <c r="C21" s="30" t="s">
        <v>319</v>
      </c>
      <c r="D21" s="30"/>
      <c r="E21" s="30"/>
      <c r="F21" s="30"/>
    </row>
    <row r="22" spans="2:6">
      <c r="B22" s="18" t="s">
        <v>320</v>
      </c>
      <c r="C22" s="30"/>
      <c r="D22" s="30"/>
      <c r="E22" s="30"/>
      <c r="F22" s="30"/>
    </row>
    <row r="23" spans="2:6" ht="7.5" customHeight="1">
      <c r="B23" s="22"/>
      <c r="C23" s="23"/>
      <c r="D23" s="22"/>
      <c r="E23" s="22"/>
      <c r="F23" s="22"/>
    </row>
    <row r="24" spans="2:6" ht="17.25">
      <c r="B24" s="37" t="s">
        <v>321</v>
      </c>
      <c r="C24" s="37"/>
      <c r="D24" s="37"/>
      <c r="E24" s="37"/>
      <c r="F24" s="37"/>
    </row>
    <row r="25" spans="2:6">
      <c r="B25" s="18" t="s">
        <v>322</v>
      </c>
      <c r="C25" s="30"/>
      <c r="D25" s="30"/>
      <c r="E25" s="30"/>
      <c r="F25" s="30"/>
    </row>
    <row r="26" spans="2:6">
      <c r="B26" s="24" t="s">
        <v>323</v>
      </c>
      <c r="C26" s="30" t="s">
        <v>324</v>
      </c>
      <c r="D26" s="30"/>
      <c r="E26" s="30"/>
      <c r="F26" s="30"/>
    </row>
    <row r="27" spans="2:6" ht="25.5" customHeight="1">
      <c r="B27" s="31" t="s">
        <v>325</v>
      </c>
      <c r="C27" s="31"/>
      <c r="D27" s="31"/>
      <c r="E27" s="31"/>
      <c r="F27" s="31"/>
    </row>
    <row r="28" spans="2:6" ht="9" customHeight="1">
      <c r="B28" s="32"/>
      <c r="C28" s="32"/>
      <c r="D28" s="32"/>
      <c r="E28" s="32"/>
      <c r="F28" s="32"/>
    </row>
    <row r="29" spans="2:6" ht="30" customHeight="1">
      <c r="B29" s="33" t="s">
        <v>326</v>
      </c>
      <c r="C29" s="33"/>
      <c r="D29" s="33"/>
      <c r="E29" s="33"/>
      <c r="F29" s="33"/>
    </row>
    <row r="30" spans="2:6" ht="27.75" customHeight="1">
      <c r="B30" s="25"/>
      <c r="C30" s="25"/>
      <c r="D30" s="25"/>
      <c r="E30" s="26" t="s">
        <v>327</v>
      </c>
      <c r="F30" s="27" t="str">
        <f>D4</f>
        <v>홍길동</v>
      </c>
    </row>
    <row r="31" spans="2:6" ht="27.75" customHeight="1">
      <c r="B31" s="25"/>
      <c r="C31" s="25"/>
      <c r="D31" s="25"/>
      <c r="E31" s="26" t="s">
        <v>328</v>
      </c>
      <c r="F31" s="27" t="str">
        <f>D7</f>
        <v>김부식</v>
      </c>
    </row>
    <row r="32" spans="2:6">
      <c r="B32" s="28"/>
      <c r="C32" s="28"/>
      <c r="D32" s="28"/>
      <c r="E32" s="28"/>
      <c r="F32" s="28"/>
    </row>
  </sheetData>
  <mergeCells count="23">
    <mergeCell ref="B10:F10"/>
    <mergeCell ref="B1:F1"/>
    <mergeCell ref="B3:F3"/>
    <mergeCell ref="B4:B6"/>
    <mergeCell ref="D6:F6"/>
    <mergeCell ref="B7:B8"/>
    <mergeCell ref="B24:F24"/>
    <mergeCell ref="C11:D11"/>
    <mergeCell ref="C12:D12"/>
    <mergeCell ref="B14:F14"/>
    <mergeCell ref="C15:D15"/>
    <mergeCell ref="C16:D16"/>
    <mergeCell ref="C17:F17"/>
    <mergeCell ref="B18:B19"/>
    <mergeCell ref="D18:F18"/>
    <mergeCell ref="D19:F19"/>
    <mergeCell ref="C21:F21"/>
    <mergeCell ref="C22:F22"/>
    <mergeCell ref="C25:F25"/>
    <mergeCell ref="C26:F26"/>
    <mergeCell ref="B27:F27"/>
    <mergeCell ref="B28:F28"/>
    <mergeCell ref="B29:F29"/>
  </mergeCells>
  <phoneticPr fontId="2" type="noConversion"/>
  <dataValidations count="1">
    <dataValidation type="list" allowBlank="1" showInputMessage="1" showErrorMessage="1" sqref="D7" xr:uid="{9E0866A7-5F25-47ED-97CB-F7C8ED1C4D4F}">
      <formula1>성명1</formula1>
    </dataValidation>
  </dataValidation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OFFSET</vt:lpstr>
      <vt:lpstr>사원명부</vt:lpstr>
      <vt:lpstr>사원명부_필터링</vt:lpstr>
      <vt:lpstr>근로계약서</vt:lpstr>
      <vt:lpstr>사원명부_필터링!Criteria</vt:lpstr>
      <vt:lpstr>사원명부_필터링!Extract</vt:lpstr>
      <vt:lpstr>사원명부전체</vt:lpstr>
      <vt:lpstr>필터조건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엑셀레이터</dc:creator>
  <cp:lastModifiedBy>엑셀레이터</cp:lastModifiedBy>
  <dcterms:created xsi:type="dcterms:W3CDTF">2018-06-17T00:24:23Z</dcterms:created>
  <dcterms:modified xsi:type="dcterms:W3CDTF">2018-06-17T01:25:46Z</dcterms:modified>
</cp:coreProperties>
</file>