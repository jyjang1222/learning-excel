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827" codeName="{37B6ACAC-4A07-160E-37E0-EFA003358AD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★유튜브업로드\예제파일\필요한것만 골라보기\"/>
    </mc:Choice>
  </mc:AlternateContent>
  <bookViews>
    <workbookView xWindow="0" yWindow="0" windowWidth="19170" windowHeight="8700" tabRatio="727" xr2:uid="{87CA9178-0A4A-48BC-BC16-B3611CFDE4C6}"/>
  </bookViews>
  <sheets>
    <sheet name="목차" sheetId="13" r:id="rId1"/>
    <sheet name="SUM" sheetId="1" r:id="rId2"/>
    <sheet name="AVERAGE" sheetId="2" r:id="rId3"/>
    <sheet name="AND,OR" sheetId="5" r:id="rId4"/>
    <sheet name="MID,LEFT,RIGHT" sheetId="6" r:id="rId5"/>
    <sheet name="RANK" sheetId="7" r:id="rId6"/>
    <sheet name="IF" sheetId="4" r:id="rId7"/>
    <sheet name="ROUND" sheetId="8" r:id="rId8"/>
    <sheet name="TRUNC" sheetId="9" r:id="rId9"/>
    <sheet name="INT" sheetId="10" r:id="rId10"/>
    <sheet name="ROUND,TRUNC,INT비교" sheetId="11" r:id="rId11"/>
    <sheet name="MAX,MIN,LARGE,SMALL" sheetId="12" r:id="rId12"/>
    <sheet name="COUNT계열" sheetId="14" r:id="rId13"/>
    <sheet name="SUMIF,AVERAGEIF" sheetId="16" r:id="rId14"/>
    <sheet name="DB함수_DSUM,DAVERAGE" sheetId="17" r:id="rId15"/>
    <sheet name="DB함수_DCOUNT,DCOUNTA" sheetId="22" r:id="rId16"/>
    <sheet name="SUMIF와 DSUM의 차이" sheetId="23" r:id="rId17"/>
    <sheet name="SUMPRODUCT" sheetId="24" r:id="rId18"/>
    <sheet name="날짜_기초" sheetId="25" r:id="rId19"/>
    <sheet name="날짜_기초2" sheetId="26" r:id="rId20"/>
    <sheet name="날짜_WEEKDAY" sheetId="27" r:id="rId21"/>
    <sheet name="날짜_EOMONTH" sheetId="29" r:id="rId22"/>
    <sheet name="날짜_DATEDIF" sheetId="28" r:id="rId23"/>
    <sheet name="날짜_WORKDAY" sheetId="31" r:id="rId24"/>
    <sheet name="날짜_NETWORKDAYS" sheetId="32" r:id="rId25"/>
    <sheet name="년도별 공휴일" sheetId="30" r:id="rId26"/>
    <sheet name="VALUE" sheetId="33" r:id="rId27"/>
    <sheet name="INDEX" sheetId="34" r:id="rId28"/>
    <sheet name="MATCH" sheetId="35" r:id="rId29"/>
    <sheet name="LOOKUP" sheetId="36" r:id="rId30"/>
    <sheet name="MOD" sheetId="37" r:id="rId31"/>
    <sheet name="CHOOSE" sheetId="38" r:id="rId32"/>
    <sheet name="CHOOSE_2" sheetId="39" r:id="rId33"/>
    <sheet name="REPT" sheetId="42" r:id="rId34"/>
    <sheet name="ROW&amp;COLUMN" sheetId="41" r:id="rId35"/>
    <sheet name="ROWS&amp;COLUMNS" sheetId="43" r:id="rId36"/>
    <sheet name="FIND&amp;SEARCH" sheetId="44" r:id="rId37"/>
    <sheet name="TEXT" sheetId="45" r:id="rId38"/>
  </sheets>
  <externalReferences>
    <externalReference r:id="rId39"/>
  </externalReferences>
  <definedNames>
    <definedName name="_xlnm._FilterDatabase" localSheetId="34" hidden="1">'ROW&amp;COLUMN'!$B$2:$G$22</definedName>
    <definedName name="공휴일_18년">'[1]년도별 공휴일'!$D$6:$D$24</definedName>
    <definedName name="공휴일_2017">'년도별 공휴일'!$B$6:$B$24</definedName>
    <definedName name="공휴일_2018">'년도별 공휴일'!$D$6:$D$24</definedName>
    <definedName name="규격" localSheetId="32">[1]COUNT계열!#REF!</definedName>
    <definedName name="규격" localSheetId="36">[1]COUNT계열!#REF!</definedName>
    <definedName name="규격" localSheetId="30">[1]COUNT계열!#REF!</definedName>
    <definedName name="규격" localSheetId="33">[1]COUNT계열!#REF!</definedName>
    <definedName name="규격" localSheetId="34">[1]COUNT계열!#REF!</definedName>
    <definedName name="규격" localSheetId="35">[1]COUNT계열!#REF!</definedName>
    <definedName name="규격" localSheetId="37">[1]COUNT계열!#REF!</definedName>
    <definedName name="규격">[1]COUNT계열!#REF!</definedName>
    <definedName name="기간">[1]날짜활용2!$J$6</definedName>
    <definedName name="시작날짜">[1]날짜활용2!$J$4</definedName>
    <definedName name="품명" localSheetId="32">[1]COUNT계열!#REF!</definedName>
    <definedName name="품명" localSheetId="36">[1]COUNT계열!#REF!</definedName>
    <definedName name="품명" localSheetId="30">[1]COUNT계열!#REF!</definedName>
    <definedName name="품명" localSheetId="33">[1]COUNT계열!#REF!</definedName>
    <definedName name="품명" localSheetId="34">[1]COUNT계열!#REF!</definedName>
    <definedName name="품명" localSheetId="35">[1]COUNT계열!#REF!</definedName>
    <definedName name="품명" localSheetId="37">[1]COUNT계열!#REF!</definedName>
    <definedName name="품명">[1]COUNT계열!#REF!</definedName>
  </definedNames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9" i="45" l="1"/>
  <c r="K7" i="45"/>
  <c r="G26" i="45"/>
  <c r="E26" i="45"/>
  <c r="G19" i="45"/>
  <c r="E19" i="45"/>
  <c r="G6" i="45"/>
  <c r="E6" i="45"/>
  <c r="D28" i="44" l="1"/>
  <c r="D29" i="44"/>
  <c r="D30" i="44"/>
  <c r="D31" i="44"/>
  <c r="D32" i="44"/>
  <c r="D33" i="44"/>
  <c r="D24" i="44"/>
  <c r="D25" i="44"/>
  <c r="D23" i="44"/>
  <c r="D19" i="44"/>
  <c r="D20" i="44"/>
  <c r="D18" i="44"/>
  <c r="D13" i="44"/>
  <c r="D14" i="44"/>
  <c r="D12" i="44"/>
  <c r="D8" i="44"/>
  <c r="D9" i="44"/>
  <c r="D7" i="44"/>
  <c r="E4" i="44"/>
  <c r="D4" i="44"/>
  <c r="E3" i="44"/>
  <c r="D3" i="44"/>
  <c r="C15" i="35" l="1"/>
  <c r="C16" i="35"/>
  <c r="C17" i="35"/>
  <c r="N11" i="34" l="1"/>
  <c r="N12" i="34"/>
  <c r="N13" i="34"/>
  <c r="N14" i="34"/>
  <c r="N15" i="34"/>
  <c r="N16" i="34"/>
  <c r="N17" i="34"/>
  <c r="N10" i="34"/>
  <c r="L4" i="34" s="1"/>
  <c r="T15" i="34"/>
  <c r="P17" i="34"/>
  <c r="N7" i="34"/>
  <c r="N8" i="34" l="1"/>
  <c r="N9" i="34" s="1"/>
  <c r="P6" i="31"/>
  <c r="S4" i="31"/>
  <c r="R4" i="31"/>
  <c r="Q4" i="31"/>
  <c r="R6" i="31" l="1"/>
  <c r="B11" i="29"/>
  <c r="B45" i="26" l="1"/>
  <c r="C45" i="26" s="1"/>
  <c r="D45" i="26" s="1"/>
  <c r="E45" i="26" s="1"/>
  <c r="F45" i="26" s="1"/>
  <c r="G45" i="26" s="1"/>
  <c r="H45" i="26" s="1"/>
  <c r="I45" i="26" s="1"/>
  <c r="J45" i="26" s="1"/>
  <c r="K45" i="26" s="1"/>
  <c r="L45" i="26" s="1"/>
  <c r="M45" i="26" s="1"/>
  <c r="N45" i="26" s="1"/>
  <c r="O45" i="26" s="1"/>
  <c r="P45" i="26" s="1"/>
  <c r="Q45" i="26" s="1"/>
  <c r="R45" i="26" s="1"/>
  <c r="S45" i="26" s="1"/>
  <c r="T45" i="26" s="1"/>
  <c r="U45" i="26" s="1"/>
  <c r="V45" i="26" s="1"/>
  <c r="C26" i="26" l="1"/>
  <c r="D26" i="26" s="1"/>
  <c r="W9" i="26"/>
  <c r="W7" i="26"/>
  <c r="W6" i="26"/>
  <c r="E26" i="26" l="1"/>
  <c r="F26" i="26" s="1"/>
  <c r="G26" i="26" s="1"/>
  <c r="H26" i="26" s="1"/>
  <c r="I26" i="26" s="1"/>
  <c r="J26" i="26" s="1"/>
  <c r="K26" i="26" s="1"/>
  <c r="L26" i="26" s="1"/>
  <c r="M26" i="26" s="1"/>
  <c r="N26" i="26" s="1"/>
  <c r="O26" i="26" s="1"/>
  <c r="P26" i="26" s="1"/>
  <c r="Q26" i="26" s="1"/>
  <c r="C35" i="26" s="1"/>
  <c r="D35" i="26" s="1"/>
  <c r="E35" i="26" s="1"/>
  <c r="F35" i="26" s="1"/>
  <c r="G35" i="26" s="1"/>
  <c r="H35" i="26" s="1"/>
  <c r="I35" i="26" s="1"/>
  <c r="J35" i="26" s="1"/>
  <c r="K35" i="26" s="1"/>
  <c r="L35" i="26" s="1"/>
  <c r="M35" i="26" s="1"/>
  <c r="N35" i="26" s="1"/>
  <c r="O35" i="26" s="1"/>
  <c r="P35" i="26" s="1"/>
  <c r="Q35" i="26" s="1"/>
  <c r="R35" i="26" s="1"/>
  <c r="W8" i="26"/>
  <c r="T10" i="14"/>
  <c r="N5" i="10"/>
  <c r="N6" i="10"/>
  <c r="N7" i="10"/>
  <c r="N8" i="10"/>
  <c r="N9" i="10"/>
  <c r="N10" i="10"/>
  <c r="N4" i="10"/>
  <c r="M5" i="10"/>
  <c r="M6" i="10"/>
  <c r="M7" i="10"/>
  <c r="M8" i="10"/>
  <c r="M9" i="10"/>
  <c r="M10" i="10"/>
  <c r="M4" i="10"/>
  <c r="J14" i="10"/>
  <c r="S5" i="14" l="1"/>
  <c r="T5" i="14" s="1"/>
  <c r="S6" i="14"/>
  <c r="T6" i="14" s="1"/>
  <c r="S7" i="14"/>
  <c r="T7" i="14" s="1"/>
  <c r="S8" i="14"/>
  <c r="T8" i="14" s="1"/>
  <c r="S9" i="14"/>
  <c r="T9" i="14" s="1"/>
  <c r="S10" i="14"/>
  <c r="S4" i="14"/>
  <c r="T4" i="14" s="1"/>
  <c r="L10" i="10" l="1"/>
  <c r="L9" i="10"/>
  <c r="L8" i="10"/>
  <c r="L7" i="10"/>
  <c r="L6" i="10"/>
  <c r="L5" i="10"/>
  <c r="L4" i="10"/>
</calcChain>
</file>

<file path=xl/sharedStrings.xml><?xml version="1.0" encoding="utf-8"?>
<sst xmlns="http://schemas.openxmlformats.org/spreadsheetml/2006/main" count="1267" uniqueCount="762">
  <si>
    <t>내용</t>
    <phoneticPr fontId="2" type="noConversion"/>
  </si>
  <si>
    <t>의미</t>
    <phoneticPr fontId="2" type="noConversion"/>
  </si>
  <si>
    <t>-</t>
    <phoneticPr fontId="2" type="noConversion"/>
  </si>
  <si>
    <t>인수2</t>
    <phoneticPr fontId="2" type="noConversion"/>
  </si>
  <si>
    <t>인수2</t>
    <phoneticPr fontId="2" type="noConversion"/>
  </si>
  <si>
    <t>D</t>
    <phoneticPr fontId="2" type="noConversion"/>
  </si>
  <si>
    <t>F</t>
    <phoneticPr fontId="2" type="noConversion"/>
  </si>
  <si>
    <t>H</t>
    <phoneticPr fontId="2" type="noConversion"/>
  </si>
  <si>
    <t>I</t>
    <phoneticPr fontId="2" type="noConversion"/>
  </si>
  <si>
    <t>B</t>
    <phoneticPr fontId="2" type="noConversion"/>
  </si>
  <si>
    <t>A</t>
    <phoneticPr fontId="2" type="noConversion"/>
  </si>
  <si>
    <t>C</t>
    <phoneticPr fontId="2" type="noConversion"/>
  </si>
  <si>
    <t>E</t>
    <phoneticPr fontId="2" type="noConversion"/>
  </si>
  <si>
    <t>성명</t>
    <phoneticPr fontId="2" type="noConversion"/>
  </si>
  <si>
    <t>IF</t>
    <phoneticPr fontId="2" type="noConversion"/>
  </si>
  <si>
    <t>유형1</t>
    <phoneticPr fontId="2" type="noConversion"/>
  </si>
  <si>
    <t>유형2</t>
    <phoneticPr fontId="2" type="noConversion"/>
  </si>
  <si>
    <t>유형3</t>
    <phoneticPr fontId="2" type="noConversion"/>
  </si>
  <si>
    <t>AND함수</t>
    <phoneticPr fontId="2" type="noConversion"/>
  </si>
  <si>
    <t>기준이 
2가지 이상</t>
    <phoneticPr fontId="2" type="noConversion"/>
  </si>
  <si>
    <t>이중IF, 삼중IF</t>
  </si>
  <si>
    <t>기준은 1가지 이지만
기준 자체가 2가지
이상을 동시에 만족</t>
    <phoneticPr fontId="2" type="noConversion"/>
  </si>
  <si>
    <t>컴활2급 필기시험은 컴퓨터 일반과 스프레드시트 2과목으로 나뉜다.
합격 기준은 평균이 60점 이상이어야 하며 과락이 없어야 한다.
과락은 평균이 60점 이상이라 할지라도 한과목이 40점 미만이면 불합격이다.
=IF ( AND ( 평균&gt;=60 , 컴퓨터일반&gt;=40 , 스프레드시트&gt;=40 ) , "합격" , "불합격" )</t>
    <phoneticPr fontId="2" type="noConversion"/>
  </si>
  <si>
    <r>
      <t xml:space="preserve">점수가 90~100 이면 "우수", 80~89는 "보통", 나머지는 공백으로 하시오.
=IF ( 점수&gt;=90 , "우수" , </t>
    </r>
    <r>
      <rPr>
        <sz val="11"/>
        <color rgb="FF0070C0"/>
        <rFont val="맑은 고딕"/>
        <family val="3"/>
        <charset val="129"/>
        <scheme val="minor"/>
      </rPr>
      <t>IF ( 점수&gt;=80 , "보통" , "" )</t>
    </r>
    <r>
      <rPr>
        <sz val="11"/>
        <color theme="1"/>
        <rFont val="맑은 고딕"/>
        <family val="2"/>
        <charset val="129"/>
        <scheme val="minor"/>
      </rPr>
      <t xml:space="preserve"> )
소,중,대 구분</t>
    </r>
    <phoneticPr fontId="2" type="noConversion"/>
  </si>
  <si>
    <t>기초</t>
    <phoneticPr fontId="2" type="noConversion"/>
  </si>
  <si>
    <t>점수</t>
    <phoneticPr fontId="2" type="noConversion"/>
  </si>
  <si>
    <t>점수가 90점 이상이면 "우수" 아니면 공백으로 하시오.</t>
    <phoneticPr fontId="2" type="noConversion"/>
  </si>
  <si>
    <t>우수/공백</t>
    <phoneticPr fontId="2" type="noConversion"/>
  </si>
  <si>
    <t>유형2</t>
    <phoneticPr fontId="2" type="noConversion"/>
  </si>
  <si>
    <t>성명</t>
    <phoneticPr fontId="2" type="noConversion"/>
  </si>
  <si>
    <t>국어</t>
    <phoneticPr fontId="2" type="noConversion"/>
  </si>
  <si>
    <t>수학</t>
    <phoneticPr fontId="2" type="noConversion"/>
  </si>
  <si>
    <t>A</t>
    <phoneticPr fontId="2" type="noConversion"/>
  </si>
  <si>
    <t>B</t>
    <phoneticPr fontId="2" type="noConversion"/>
  </si>
  <si>
    <t>C</t>
    <phoneticPr fontId="2" type="noConversion"/>
  </si>
  <si>
    <t>D</t>
    <phoneticPr fontId="2" type="noConversion"/>
  </si>
  <si>
    <t>E</t>
    <phoneticPr fontId="2" type="noConversion"/>
  </si>
  <si>
    <t>유형3</t>
    <phoneticPr fontId="2" type="noConversion"/>
  </si>
  <si>
    <t>이중IF, 삼중IF</t>
    <phoneticPr fontId="2" type="noConversion"/>
  </si>
  <si>
    <t>판정</t>
    <phoneticPr fontId="2" type="noConversion"/>
  </si>
  <si>
    <t>유형4</t>
    <phoneticPr fontId="2" type="noConversion"/>
  </si>
  <si>
    <t>점수가      90~100 이면 "우수",      80~89는 "보통",      나머지는 공백     으로 하시오.</t>
    <phoneticPr fontId="2" type="noConversion"/>
  </si>
  <si>
    <t>G</t>
    <phoneticPr fontId="2" type="noConversion"/>
  </si>
  <si>
    <t>IF, AND, AVERAGE, RANK함수 사용</t>
    <phoneticPr fontId="2" type="noConversion"/>
  </si>
  <si>
    <t>여러함수 짬뽕, 절대참조</t>
    <phoneticPr fontId="2" type="noConversion"/>
  </si>
  <si>
    <t>1, 2, 3등은 등수를 그대로 표기하고 나머지는 공백으로 표시하시오.</t>
    <phoneticPr fontId="2" type="noConversion"/>
  </si>
  <si>
    <t xml:space="preserve">IF, RANK함수 </t>
    <phoneticPr fontId="2" type="noConversion"/>
  </si>
  <si>
    <t>결과값</t>
    <phoneticPr fontId="2" type="noConversion"/>
  </si>
  <si>
    <t>ROUND, ROUNDUP, ROUNDDOWN, TRUNC, INT함수 비교</t>
    <phoneticPr fontId="2" type="noConversion"/>
  </si>
  <si>
    <t>함수</t>
    <phoneticPr fontId="2" type="noConversion"/>
  </si>
  <si>
    <t>반올림</t>
    <phoneticPr fontId="2" type="noConversion"/>
  </si>
  <si>
    <t>올림</t>
    <phoneticPr fontId="2" type="noConversion"/>
  </si>
  <si>
    <t>내림</t>
    <phoneticPr fontId="2" type="noConversion"/>
  </si>
  <si>
    <t>버림</t>
    <phoneticPr fontId="2" type="noConversion"/>
  </si>
  <si>
    <t>ROUNDUP( 주체 , 0 )</t>
    <phoneticPr fontId="2" type="noConversion"/>
  </si>
  <si>
    <t>ROUNDDOWN( 주체 , 0 )</t>
    <phoneticPr fontId="2" type="noConversion"/>
  </si>
  <si>
    <t>TRUNC( 주체 , 0 )</t>
    <phoneticPr fontId="2" type="noConversion"/>
  </si>
  <si>
    <t>INT( 주체 )</t>
    <phoneticPr fontId="2" type="noConversion"/>
  </si>
  <si>
    <t>소수점
제어방식</t>
    <phoneticPr fontId="2" type="noConversion"/>
  </si>
  <si>
    <t>주체가
-1.6일때</t>
    <phoneticPr fontId="2" type="noConversion"/>
  </si>
  <si>
    <t>* ROUND 계열 함수와 TRUNC 함수의 인수2가 0일때</t>
    <phoneticPr fontId="2" type="noConversion"/>
  </si>
  <si>
    <t>※ INT 함수가 같이 비교가 되는 이유 : ROUND 계열 함수와 TRUNC 함수의 인수2가 0이면 정수로 만드는 함수이기 때문</t>
    <phoneticPr fontId="2" type="noConversion"/>
  </si>
  <si>
    <t>ROUND( 주체 , 0 )</t>
    <phoneticPr fontId="2" type="noConversion"/>
  </si>
  <si>
    <t>주체가
양수일때</t>
    <phoneticPr fontId="2" type="noConversion"/>
  </si>
  <si>
    <t>결과값 같음</t>
    <phoneticPr fontId="2" type="noConversion"/>
  </si>
  <si>
    <t>생략불가</t>
    <phoneticPr fontId="2" type="noConversion"/>
  </si>
  <si>
    <t>생략가능</t>
    <phoneticPr fontId="2" type="noConversion"/>
  </si>
  <si>
    <t>최대</t>
    <phoneticPr fontId="2" type="noConversion"/>
  </si>
  <si>
    <t>몇번째</t>
    <phoneticPr fontId="2" type="noConversion"/>
  </si>
  <si>
    <t>큰거</t>
    <phoneticPr fontId="2" type="noConversion"/>
  </si>
  <si>
    <t>* MAX, MIN, LARGE, SMALL</t>
    <phoneticPr fontId="2" type="noConversion"/>
  </si>
  <si>
    <t>MAX</t>
    <phoneticPr fontId="2" type="noConversion"/>
  </si>
  <si>
    <t>MIN</t>
    <phoneticPr fontId="2" type="noConversion"/>
  </si>
  <si>
    <t>LAGRE</t>
    <phoneticPr fontId="2" type="noConversion"/>
  </si>
  <si>
    <t>SMALL</t>
    <phoneticPr fontId="2" type="noConversion"/>
  </si>
  <si>
    <t xml:space="preserve"> 숫자</t>
    <phoneticPr fontId="2" type="noConversion"/>
  </si>
  <si>
    <t>LARGE</t>
    <phoneticPr fontId="2" type="noConversion"/>
  </si>
  <si>
    <t>점수</t>
    <phoneticPr fontId="2" type="noConversion"/>
  </si>
  <si>
    <t>순위</t>
    <phoneticPr fontId="2" type="noConversion"/>
  </si>
  <si>
    <t>성명</t>
    <phoneticPr fontId="2" type="noConversion"/>
  </si>
  <si>
    <t>국어</t>
    <phoneticPr fontId="2" type="noConversion"/>
  </si>
  <si>
    <t>영어</t>
    <phoneticPr fontId="2" type="noConversion"/>
  </si>
  <si>
    <t>수학</t>
    <phoneticPr fontId="2" type="noConversion"/>
  </si>
  <si>
    <t>합계</t>
    <phoneticPr fontId="2" type="noConversion"/>
  </si>
  <si>
    <t>A</t>
    <phoneticPr fontId="2" type="noConversion"/>
  </si>
  <si>
    <t>B</t>
    <phoneticPr fontId="2" type="noConversion"/>
  </si>
  <si>
    <t>C</t>
    <phoneticPr fontId="2" type="noConversion"/>
  </si>
  <si>
    <t>D</t>
    <phoneticPr fontId="2" type="noConversion"/>
  </si>
  <si>
    <t>E</t>
    <phoneticPr fontId="2" type="noConversion"/>
  </si>
  <si>
    <t>홍길동 성적표</t>
    <phoneticPr fontId="2" type="noConversion"/>
  </si>
  <si>
    <t>(각 과목당 100점 만점)</t>
    <phoneticPr fontId="2" type="noConversion"/>
  </si>
  <si>
    <t>H과목</t>
    <phoneticPr fontId="2" type="noConversion"/>
  </si>
  <si>
    <t>I과목</t>
    <phoneticPr fontId="2" type="noConversion"/>
  </si>
  <si>
    <t>(각 과목당 20점 만점)</t>
    <phoneticPr fontId="2" type="noConversion"/>
  </si>
  <si>
    <t>학습의지</t>
    <phoneticPr fontId="2" type="noConversion"/>
  </si>
  <si>
    <t>성실성</t>
    <phoneticPr fontId="2" type="noConversion"/>
  </si>
  <si>
    <t>점수합계 (만점 : 1000점)</t>
    <phoneticPr fontId="2" type="noConversion"/>
  </si>
  <si>
    <t>성취도평가</t>
    <phoneticPr fontId="2" type="noConversion"/>
  </si>
  <si>
    <t>A과목</t>
    <phoneticPr fontId="2" type="noConversion"/>
  </si>
  <si>
    <t>B과목</t>
    <phoneticPr fontId="2" type="noConversion"/>
  </si>
  <si>
    <t>C과목</t>
    <phoneticPr fontId="2" type="noConversion"/>
  </si>
  <si>
    <t>D과목</t>
    <phoneticPr fontId="2" type="noConversion"/>
  </si>
  <si>
    <t>E과목</t>
    <phoneticPr fontId="2" type="noConversion"/>
  </si>
  <si>
    <t>F과목</t>
    <phoneticPr fontId="2" type="noConversion"/>
  </si>
  <si>
    <t>G과목</t>
    <phoneticPr fontId="2" type="noConversion"/>
  </si>
  <si>
    <t>생활평가</t>
    <phoneticPr fontId="2" type="noConversion"/>
  </si>
  <si>
    <t>출석점수</t>
    <phoneticPr fontId="2" type="noConversion"/>
  </si>
  <si>
    <t>수업태도</t>
    <phoneticPr fontId="2" type="noConversion"/>
  </si>
  <si>
    <t>협동성</t>
    <phoneticPr fontId="2" type="noConversion"/>
  </si>
  <si>
    <t>평균 60점 이상, 한과목이라도 40점 미만이 되어선 안됨.</t>
    <phoneticPr fontId="2" type="noConversion"/>
  </si>
  <si>
    <t>컴활2급 필기시험 합격기준</t>
    <phoneticPr fontId="2" type="noConversion"/>
  </si>
  <si>
    <t>A군</t>
    <phoneticPr fontId="2" type="noConversion"/>
  </si>
  <si>
    <t>B양</t>
    <phoneticPr fontId="2" type="noConversion"/>
  </si>
  <si>
    <t>C양</t>
    <phoneticPr fontId="2" type="noConversion"/>
  </si>
  <si>
    <t>D군</t>
    <phoneticPr fontId="2" type="noConversion"/>
  </si>
  <si>
    <t>E군</t>
    <phoneticPr fontId="2" type="noConversion"/>
  </si>
  <si>
    <t>판정</t>
    <phoneticPr fontId="2" type="noConversion"/>
  </si>
  <si>
    <t>거래업체명</t>
    <phoneticPr fontId="2" type="noConversion"/>
  </si>
  <si>
    <t>품명</t>
    <phoneticPr fontId="2" type="noConversion"/>
  </si>
  <si>
    <t>규격</t>
    <phoneticPr fontId="2" type="noConversion"/>
  </si>
  <si>
    <t>금액</t>
    <phoneticPr fontId="2" type="noConversion"/>
  </si>
  <si>
    <t>현대중공업㈜</t>
  </si>
  <si>
    <t>CM-200</t>
  </si>
  <si>
    <t>10K</t>
  </si>
  <si>
    <t>에쓰오일㈜</t>
  </si>
  <si>
    <t>AM-200</t>
  </si>
  <si>
    <t>삼성중공업㈜</t>
  </si>
  <si>
    <t>CM-100</t>
  </si>
  <si>
    <t>20K</t>
  </si>
  <si>
    <t>㈜엘지상사</t>
  </si>
  <si>
    <t>AM-100</t>
  </si>
  <si>
    <t>40K</t>
  </si>
  <si>
    <t>㈜포스코건설</t>
  </si>
  <si>
    <t>BM-200</t>
  </si>
  <si>
    <t>30K</t>
  </si>
  <si>
    <t>거래업체가 에쓰오일이거나 규격이 10K인 제품을 비고에 적합이라고 표시하시오</t>
    <phoneticPr fontId="2" type="noConversion"/>
  </si>
  <si>
    <t>30K</t>
    <phoneticPr fontId="2" type="noConversion"/>
  </si>
  <si>
    <t>10K</t>
    <phoneticPr fontId="2" type="noConversion"/>
  </si>
  <si>
    <t>비고</t>
    <phoneticPr fontId="2" type="noConversion"/>
  </si>
  <si>
    <t>성명</t>
    <phoneticPr fontId="2" type="noConversion"/>
  </si>
  <si>
    <t>컴퓨터일반</t>
    <phoneticPr fontId="2" type="noConversion"/>
  </si>
  <si>
    <t>스프레드시트</t>
    <phoneticPr fontId="2" type="noConversion"/>
  </si>
  <si>
    <t>판정</t>
    <phoneticPr fontId="2" type="noConversion"/>
  </si>
  <si>
    <t>성명</t>
    <phoneticPr fontId="2" type="noConversion"/>
  </si>
  <si>
    <t>소속</t>
    <phoneticPr fontId="2" type="noConversion"/>
  </si>
  <si>
    <t>직위</t>
    <phoneticPr fontId="2" type="noConversion"/>
  </si>
  <si>
    <t>성별</t>
    <phoneticPr fontId="2" type="noConversion"/>
  </si>
  <si>
    <t>주민등록번호</t>
    <phoneticPr fontId="2" type="noConversion"/>
  </si>
  <si>
    <t>강감찬</t>
  </si>
  <si>
    <t>구매팀</t>
    <phoneticPr fontId="2" type="noConversion"/>
  </si>
  <si>
    <t>사원</t>
    <phoneticPr fontId="2" type="noConversion"/>
  </si>
  <si>
    <t>남</t>
  </si>
  <si>
    <t>900811-1******</t>
  </si>
  <si>
    <t>계백</t>
  </si>
  <si>
    <t>기획팀</t>
    <phoneticPr fontId="2" type="noConversion"/>
  </si>
  <si>
    <t>사원</t>
    <phoneticPr fontId="2" type="noConversion"/>
  </si>
  <si>
    <t>여</t>
  </si>
  <si>
    <t>831019-2******</t>
  </si>
  <si>
    <t>곽재우</t>
  </si>
  <si>
    <t>생산관리팀</t>
    <phoneticPr fontId="2" type="noConversion"/>
  </si>
  <si>
    <t>850603-1******</t>
  </si>
  <si>
    <t>관창</t>
  </si>
  <si>
    <t>기획팀</t>
    <phoneticPr fontId="2" type="noConversion"/>
  </si>
  <si>
    <t>870530-2******</t>
  </si>
  <si>
    <t>광개토</t>
    <phoneticPr fontId="2" type="noConversion"/>
  </si>
  <si>
    <t>부장</t>
    <phoneticPr fontId="2" type="noConversion"/>
  </si>
  <si>
    <t>710503-1******</t>
  </si>
  <si>
    <t>권율</t>
  </si>
  <si>
    <t>영업1팀</t>
  </si>
  <si>
    <t>대리</t>
    <phoneticPr fontId="2" type="noConversion"/>
  </si>
  <si>
    <t>810723-1******</t>
  </si>
  <si>
    <t>김대건</t>
  </si>
  <si>
    <t>경영정보팀</t>
  </si>
  <si>
    <t>880801-1******</t>
  </si>
  <si>
    <t>김두한</t>
  </si>
  <si>
    <t>영업2팀</t>
    <phoneticPr fontId="2" type="noConversion"/>
  </si>
  <si>
    <t>901230-2******</t>
  </si>
  <si>
    <t>김부식</t>
  </si>
  <si>
    <t>개발팀</t>
  </si>
  <si>
    <t>부장</t>
    <phoneticPr fontId="2" type="noConversion"/>
  </si>
  <si>
    <t>690214-1******</t>
  </si>
  <si>
    <t>김삿갓</t>
  </si>
  <si>
    <t>차장</t>
    <phoneticPr fontId="2" type="noConversion"/>
  </si>
  <si>
    <t>741226-2******</t>
  </si>
  <si>
    <t>파워포인트배우기</t>
    <phoneticPr fontId="2" type="noConversion"/>
  </si>
  <si>
    <t>아래한글배우기</t>
    <phoneticPr fontId="2" type="noConversion"/>
  </si>
  <si>
    <t>컴퓨터기초배우기</t>
    <phoneticPr fontId="2" type="noConversion"/>
  </si>
  <si>
    <t>배우기</t>
    <phoneticPr fontId="2" type="noConversion"/>
  </si>
  <si>
    <t>주체</t>
    <phoneticPr fontId="2" type="noConversion"/>
  </si>
  <si>
    <t>인수2</t>
    <phoneticPr fontId="2" type="noConversion"/>
  </si>
  <si>
    <t>결과값</t>
    <phoneticPr fontId="2" type="noConversion"/>
  </si>
  <si>
    <t>인수2</t>
    <phoneticPr fontId="2" type="noConversion"/>
  </si>
  <si>
    <t>결과값</t>
    <phoneticPr fontId="2" type="noConversion"/>
  </si>
  <si>
    <t>MID 함수</t>
    <phoneticPr fontId="2" type="noConversion"/>
  </si>
  <si>
    <t>LEFT 함수</t>
    <phoneticPr fontId="2" type="noConversion"/>
  </si>
  <si>
    <t>인수3</t>
    <phoneticPr fontId="2" type="noConversion"/>
  </si>
  <si>
    <t>RIGHT 함수</t>
    <phoneticPr fontId="2" type="noConversion"/>
  </si>
  <si>
    <t>출생년도</t>
    <phoneticPr fontId="2" type="noConversion"/>
  </si>
  <si>
    <t>엑셀- 매크로배우기</t>
    <phoneticPr fontId="2" type="noConversion"/>
  </si>
  <si>
    <t>엑셀함수배우기</t>
    <phoneticPr fontId="2" type="noConversion"/>
  </si>
  <si>
    <t>함수</t>
    <phoneticPr fontId="2" type="noConversion"/>
  </si>
  <si>
    <t>매크로</t>
    <phoneticPr fontId="2" type="noConversion"/>
  </si>
  <si>
    <t>포인트</t>
    <phoneticPr fontId="2" type="noConversion"/>
  </si>
  <si>
    <t>아래</t>
    <phoneticPr fontId="2" type="noConversion"/>
  </si>
  <si>
    <t>순위</t>
    <phoneticPr fontId="2" type="noConversion"/>
  </si>
  <si>
    <t>집값</t>
    <phoneticPr fontId="2" type="noConversion"/>
  </si>
  <si>
    <t>숫자</t>
    <phoneticPr fontId="2" type="noConversion"/>
  </si>
  <si>
    <t>구분</t>
    <phoneticPr fontId="2" type="noConversion"/>
  </si>
  <si>
    <t>고용보험</t>
    <phoneticPr fontId="2" type="noConversion"/>
  </si>
  <si>
    <t>차값</t>
    <phoneticPr fontId="2" type="noConversion"/>
  </si>
  <si>
    <t>월세</t>
    <phoneticPr fontId="2" type="noConversion"/>
  </si>
  <si>
    <t>점수</t>
    <phoneticPr fontId="2" type="noConversion"/>
  </si>
  <si>
    <t>평균</t>
    <phoneticPr fontId="2" type="noConversion"/>
  </si>
  <si>
    <t>거래일자</t>
    <phoneticPr fontId="2" type="noConversion"/>
  </si>
  <si>
    <t>금액</t>
    <phoneticPr fontId="2" type="noConversion"/>
  </si>
  <si>
    <t>합계금액</t>
    <phoneticPr fontId="2" type="noConversion"/>
  </si>
  <si>
    <t>A급거래처</t>
    <phoneticPr fontId="2" type="noConversion"/>
  </si>
  <si>
    <t>단가측정</t>
    <phoneticPr fontId="2" type="noConversion"/>
  </si>
  <si>
    <t>총금액</t>
    <phoneticPr fontId="2" type="noConversion"/>
  </si>
  <si>
    <t>수량</t>
    <phoneticPr fontId="2" type="noConversion"/>
  </si>
  <si>
    <t>단가</t>
  </si>
  <si>
    <t>단가</t>
    <phoneticPr fontId="2" type="noConversion"/>
  </si>
  <si>
    <t>인수1</t>
    <phoneticPr fontId="2" type="noConversion"/>
  </si>
  <si>
    <t>인수2</t>
    <phoneticPr fontId="2" type="noConversion"/>
  </si>
  <si>
    <t>결과값</t>
    <phoneticPr fontId="2" type="noConversion"/>
  </si>
  <si>
    <t>10 / 3</t>
    <phoneticPr fontId="2" type="noConversion"/>
  </si>
  <si>
    <r>
      <t>3</t>
    </r>
    <r>
      <rPr>
        <sz val="11"/>
        <color theme="1"/>
        <rFont val="Adobe 고딕 Std B"/>
        <family val="2"/>
        <charset val="129"/>
      </rPr>
      <t>…</t>
    </r>
    <r>
      <rPr>
        <sz val="11"/>
        <color theme="1"/>
        <rFont val="맑은 고딕"/>
        <family val="3"/>
        <charset val="129"/>
      </rPr>
      <t>1</t>
    </r>
    <phoneticPr fontId="2" type="noConversion"/>
  </si>
  <si>
    <t>나눠질 애</t>
    <phoneticPr fontId="2" type="noConversion"/>
  </si>
  <si>
    <t>나눌 애</t>
    <phoneticPr fontId="2" type="noConversion"/>
  </si>
  <si>
    <t>결과값</t>
    <phoneticPr fontId="2" type="noConversion"/>
  </si>
  <si>
    <t>몫</t>
    <phoneticPr fontId="2" type="noConversion"/>
  </si>
  <si>
    <t>나머지</t>
    <phoneticPr fontId="2" type="noConversion"/>
  </si>
  <si>
    <t>데이터</t>
    <phoneticPr fontId="2" type="noConversion"/>
  </si>
  <si>
    <t>함수</t>
    <phoneticPr fontId="2" type="noConversion"/>
  </si>
  <si>
    <t>문제</t>
    <phoneticPr fontId="2" type="noConversion"/>
  </si>
  <si>
    <t>COUNT</t>
    <phoneticPr fontId="2" type="noConversion"/>
  </si>
  <si>
    <t>COUNTA</t>
    <phoneticPr fontId="2" type="noConversion"/>
  </si>
  <si>
    <t>COUNTBLANK</t>
    <phoneticPr fontId="2" type="noConversion"/>
  </si>
  <si>
    <t>엑셀</t>
    <phoneticPr fontId="2" type="noConversion"/>
  </si>
  <si>
    <t>COUNTIF</t>
    <phoneticPr fontId="2" type="noConversion"/>
  </si>
  <si>
    <t>"엑셀"로 표기된 셀개수</t>
    <phoneticPr fontId="2" type="noConversion"/>
  </si>
  <si>
    <t>50 이상인 셀개수</t>
    <phoneticPr fontId="2" type="noConversion"/>
  </si>
  <si>
    <t>"엑셀" 글자를 포함한 셀개수</t>
    <phoneticPr fontId="2" type="noConversion"/>
  </si>
  <si>
    <t>COUNTIFS</t>
    <phoneticPr fontId="2" type="noConversion"/>
  </si>
  <si>
    <t>20이상 80미만</t>
    <phoneticPr fontId="2" type="noConversion"/>
  </si>
  <si>
    <t>엑셀배우기</t>
    <phoneticPr fontId="2" type="noConversion"/>
  </si>
  <si>
    <t>BM-100</t>
  </si>
  <si>
    <t>&lt;단가표&gt;</t>
    <phoneticPr fontId="2" type="noConversion"/>
  </si>
  <si>
    <t>품명 및 규격</t>
    <phoneticPr fontId="2" type="noConversion"/>
  </si>
  <si>
    <t>단가</t>
    <phoneticPr fontId="2" type="noConversion"/>
  </si>
  <si>
    <t>AM-100 / 10K</t>
  </si>
  <si>
    <t>AM-100 / 20K</t>
  </si>
  <si>
    <t>AM-100 / 30K</t>
  </si>
  <si>
    <t>BM-100 / 10K</t>
  </si>
  <si>
    <t>BM-100 / 20K</t>
  </si>
  <si>
    <t>BM-100 / 30K</t>
  </si>
  <si>
    <t>CM-100 / 10K</t>
  </si>
  <si>
    <t>CM-100 / 20K</t>
  </si>
  <si>
    <t>CM-100 / 30K</t>
  </si>
  <si>
    <t>번호</t>
  </si>
  <si>
    <t>품명</t>
  </si>
  <si>
    <t>규격</t>
  </si>
  <si>
    <t>수량</t>
    <phoneticPr fontId="2" type="noConversion"/>
  </si>
  <si>
    <t>공급가액</t>
  </si>
  <si>
    <t>COUNT</t>
    <phoneticPr fontId="2" type="noConversion"/>
  </si>
  <si>
    <t>COUNTA</t>
    <phoneticPr fontId="2" type="noConversion"/>
  </si>
  <si>
    <t>COUNTBLANK</t>
    <phoneticPr fontId="2" type="noConversion"/>
  </si>
  <si>
    <t>날짜</t>
    <phoneticPr fontId="2" type="noConversion"/>
  </si>
  <si>
    <t>제품명</t>
    <phoneticPr fontId="2" type="noConversion"/>
  </si>
  <si>
    <t>구분</t>
    <phoneticPr fontId="2" type="noConversion"/>
  </si>
  <si>
    <t>제조국</t>
    <phoneticPr fontId="2" type="noConversion"/>
  </si>
  <si>
    <t>금액</t>
    <phoneticPr fontId="2" type="noConversion"/>
  </si>
  <si>
    <t>금액합계</t>
    <phoneticPr fontId="2" type="noConversion"/>
  </si>
  <si>
    <t>금액평균</t>
    <phoneticPr fontId="2" type="noConversion"/>
  </si>
  <si>
    <t>LARGE</t>
    <phoneticPr fontId="2" type="noConversion"/>
  </si>
  <si>
    <t>한국</t>
    <phoneticPr fontId="2" type="noConversion"/>
  </si>
  <si>
    <t>LARGE</t>
  </si>
  <si>
    <t>한국</t>
  </si>
  <si>
    <t>SMALL</t>
    <phoneticPr fontId="2" type="noConversion"/>
  </si>
  <si>
    <t>독일</t>
    <phoneticPr fontId="2" type="noConversion"/>
  </si>
  <si>
    <t>BM-300</t>
    <phoneticPr fontId="2" type="noConversion"/>
  </si>
  <si>
    <t>SMALL</t>
    <phoneticPr fontId="2" type="noConversion"/>
  </si>
  <si>
    <t>제품명이 AM으로 시작하는 금액합계</t>
    <phoneticPr fontId="2" type="noConversion"/>
  </si>
  <si>
    <t>MEDIUM</t>
    <phoneticPr fontId="2" type="noConversion"/>
  </si>
  <si>
    <t>BM-500</t>
    <phoneticPr fontId="2" type="noConversion"/>
  </si>
  <si>
    <t>MEDIUM</t>
    <phoneticPr fontId="2" type="noConversion"/>
  </si>
  <si>
    <t>합계</t>
    <phoneticPr fontId="2" type="noConversion"/>
  </si>
  <si>
    <t>LARGE</t>
    <phoneticPr fontId="2" type="noConversion"/>
  </si>
  <si>
    <t>독일</t>
    <phoneticPr fontId="2" type="noConversion"/>
  </si>
  <si>
    <t>BM-400</t>
    <phoneticPr fontId="2" type="noConversion"/>
  </si>
  <si>
    <t>한국</t>
    <phoneticPr fontId="2" type="noConversion"/>
  </si>
  <si>
    <t>AM-500</t>
    <phoneticPr fontId="2" type="noConversion"/>
  </si>
  <si>
    <t>한국</t>
    <phoneticPr fontId="2" type="noConversion"/>
  </si>
  <si>
    <t>AM-400</t>
    <phoneticPr fontId="2" type="noConversion"/>
  </si>
  <si>
    <t>성명</t>
    <phoneticPr fontId="2" type="noConversion"/>
  </si>
  <si>
    <t>국어</t>
    <phoneticPr fontId="2" type="noConversion"/>
  </si>
  <si>
    <t>영어</t>
    <phoneticPr fontId="2" type="noConversion"/>
  </si>
  <si>
    <t>영어</t>
    <phoneticPr fontId="2" type="noConversion"/>
  </si>
  <si>
    <t>수학</t>
    <phoneticPr fontId="2" type="noConversion"/>
  </si>
  <si>
    <t>수학</t>
    <phoneticPr fontId="2" type="noConversion"/>
  </si>
  <si>
    <t>성명</t>
    <phoneticPr fontId="2" type="noConversion"/>
  </si>
  <si>
    <t>국어</t>
    <phoneticPr fontId="2" type="noConversion"/>
  </si>
  <si>
    <t>A</t>
    <phoneticPr fontId="2" type="noConversion"/>
  </si>
  <si>
    <t>B</t>
    <phoneticPr fontId="2" type="noConversion"/>
  </si>
  <si>
    <t>C</t>
    <phoneticPr fontId="2" type="noConversion"/>
  </si>
  <si>
    <t>D</t>
    <phoneticPr fontId="2" type="noConversion"/>
  </si>
  <si>
    <t>E</t>
    <phoneticPr fontId="2" type="noConversion"/>
  </si>
  <si>
    <t>평균</t>
    <phoneticPr fontId="2" type="noConversion"/>
  </si>
  <si>
    <t>평균</t>
    <phoneticPr fontId="2" type="noConversion"/>
  </si>
  <si>
    <t>미응시</t>
    <phoneticPr fontId="2" type="noConversion"/>
  </si>
  <si>
    <t>미응시</t>
    <phoneticPr fontId="2" type="noConversion"/>
  </si>
  <si>
    <t>미응시</t>
    <phoneticPr fontId="2" type="noConversion"/>
  </si>
  <si>
    <t>B</t>
    <phoneticPr fontId="2" type="noConversion"/>
  </si>
  <si>
    <t>D</t>
    <phoneticPr fontId="2" type="noConversion"/>
  </si>
  <si>
    <t>평균</t>
    <phoneticPr fontId="2" type="noConversion"/>
  </si>
  <si>
    <t>작은거</t>
    <phoneticPr fontId="2" type="noConversion"/>
  </si>
  <si>
    <t>국어도 반평균보다 높고, 수학도 반평균보다 높으면 평균점수를 표시하고 아니면 공백으로 하시오.</t>
    <phoneticPr fontId="2" type="noConversion"/>
  </si>
  <si>
    <t>제품명</t>
    <phoneticPr fontId="2" type="noConversion"/>
  </si>
  <si>
    <t>구분</t>
    <phoneticPr fontId="2" type="noConversion"/>
  </si>
  <si>
    <t>제조국</t>
    <phoneticPr fontId="2" type="noConversion"/>
  </si>
  <si>
    <t>생산량</t>
    <phoneticPr fontId="2" type="noConversion"/>
  </si>
  <si>
    <t>금액</t>
    <phoneticPr fontId="2" type="noConversion"/>
  </si>
  <si>
    <t>LARGE</t>
    <phoneticPr fontId="2" type="noConversion"/>
  </si>
  <si>
    <t>한국</t>
    <phoneticPr fontId="2" type="noConversion"/>
  </si>
  <si>
    <t>SMALL</t>
    <phoneticPr fontId="2" type="noConversion"/>
  </si>
  <si>
    <t>독일</t>
    <phoneticPr fontId="2" type="noConversion"/>
  </si>
  <si>
    <t>BM-300</t>
    <phoneticPr fontId="2" type="noConversion"/>
  </si>
  <si>
    <t>SMALL</t>
    <phoneticPr fontId="2" type="noConversion"/>
  </si>
  <si>
    <t>한국</t>
    <phoneticPr fontId="2" type="noConversion"/>
  </si>
  <si>
    <t>MEDIUM</t>
    <phoneticPr fontId="2" type="noConversion"/>
  </si>
  <si>
    <t>BM-500</t>
    <phoneticPr fontId="2" type="noConversion"/>
  </si>
  <si>
    <t>독일</t>
    <phoneticPr fontId="2" type="noConversion"/>
  </si>
  <si>
    <t>BM-400</t>
    <phoneticPr fontId="2" type="noConversion"/>
  </si>
  <si>
    <t>LARGE</t>
    <phoneticPr fontId="2" type="noConversion"/>
  </si>
  <si>
    <t>AM-500</t>
    <phoneticPr fontId="2" type="noConversion"/>
  </si>
  <si>
    <t>MEDIUM</t>
    <phoneticPr fontId="2" type="noConversion"/>
  </si>
  <si>
    <t>AM-400</t>
    <phoneticPr fontId="2" type="noConversion"/>
  </si>
  <si>
    <t>구분이 LARGE 또는 SMALL이고 생산량이 100이상 150이하인 제품금액 합계</t>
    <phoneticPr fontId="2" type="noConversion"/>
  </si>
  <si>
    <t>구분</t>
    <phoneticPr fontId="2" type="noConversion"/>
  </si>
  <si>
    <t>제조국</t>
    <phoneticPr fontId="2" type="noConversion"/>
  </si>
  <si>
    <t>금액합계</t>
    <phoneticPr fontId="2" type="noConversion"/>
  </si>
  <si>
    <t>금액평균</t>
    <phoneticPr fontId="2" type="noConversion"/>
  </si>
  <si>
    <t>날짜</t>
    <phoneticPr fontId="2" type="noConversion"/>
  </si>
  <si>
    <t>제조국</t>
    <phoneticPr fontId="2" type="noConversion"/>
  </si>
  <si>
    <t>SMALL</t>
    <phoneticPr fontId="2" type="noConversion"/>
  </si>
  <si>
    <t>BM-300</t>
    <phoneticPr fontId="2" type="noConversion"/>
  </si>
  <si>
    <t>한국</t>
    <phoneticPr fontId="2" type="noConversion"/>
  </si>
  <si>
    <t>한국</t>
    <phoneticPr fontId="2" type="noConversion"/>
  </si>
  <si>
    <t>BM-500</t>
    <phoneticPr fontId="2" type="noConversion"/>
  </si>
  <si>
    <t>독일</t>
    <phoneticPr fontId="2" type="noConversion"/>
  </si>
  <si>
    <t>제조국이 한국인 데이터는 몇 개?</t>
    <phoneticPr fontId="2" type="noConversion"/>
  </si>
  <si>
    <r>
      <t>제조국이 한국인</t>
    </r>
    <r>
      <rPr>
        <sz val="11"/>
        <color theme="1"/>
        <rFont val="맑은 고딕"/>
        <family val="2"/>
        <charset val="129"/>
        <scheme val="minor"/>
      </rPr>
      <t xml:space="preserve"> 생산량의 합계는?</t>
    </r>
    <phoneticPr fontId="2" type="noConversion"/>
  </si>
  <si>
    <t>제조국</t>
    <phoneticPr fontId="2" type="noConversion"/>
  </si>
  <si>
    <t>한국</t>
    <phoneticPr fontId="2" type="noConversion"/>
  </si>
  <si>
    <r>
      <t>제조국이 한국인</t>
    </r>
    <r>
      <rPr>
        <sz val="11"/>
        <color theme="1"/>
        <rFont val="맑은 고딕"/>
        <family val="2"/>
        <charset val="129"/>
        <scheme val="minor"/>
      </rPr>
      <t xml:space="preserve"> 생산량의 합계는?</t>
    </r>
    <phoneticPr fontId="2" type="noConversion"/>
  </si>
  <si>
    <t>품명</t>
    <phoneticPr fontId="2" type="noConversion"/>
  </si>
  <si>
    <t>수량</t>
    <phoneticPr fontId="2" type="noConversion"/>
  </si>
  <si>
    <t>수량</t>
    <phoneticPr fontId="2" type="noConversion"/>
  </si>
  <si>
    <t>단가</t>
    <phoneticPr fontId="2" type="noConversion"/>
  </si>
  <si>
    <t>금액</t>
    <phoneticPr fontId="2" type="noConversion"/>
  </si>
  <si>
    <t>품명</t>
    <phoneticPr fontId="2" type="noConversion"/>
  </si>
  <si>
    <t>바나나</t>
    <phoneticPr fontId="2" type="noConversion"/>
  </si>
  <si>
    <t>바나나</t>
    <phoneticPr fontId="2" type="noConversion"/>
  </si>
  <si>
    <t>신라면</t>
    <phoneticPr fontId="2" type="noConversion"/>
  </si>
  <si>
    <t>만두</t>
    <phoneticPr fontId="2" type="noConversion"/>
  </si>
  <si>
    <t>만두</t>
    <phoneticPr fontId="2" type="noConversion"/>
  </si>
  <si>
    <t>우유</t>
    <phoneticPr fontId="2" type="noConversion"/>
  </si>
  <si>
    <t>우유</t>
    <phoneticPr fontId="2" type="noConversion"/>
  </si>
  <si>
    <t>합계금액</t>
    <phoneticPr fontId="2" type="noConversion"/>
  </si>
  <si>
    <t>과자</t>
    <phoneticPr fontId="2" type="noConversion"/>
  </si>
  <si>
    <t>과자</t>
    <phoneticPr fontId="2" type="noConversion"/>
  </si>
  <si>
    <t>ABC주식회사 사원명부</t>
    <phoneticPr fontId="2" type="noConversion"/>
  </si>
  <si>
    <t>생년월일</t>
    <phoneticPr fontId="2" type="noConversion"/>
  </si>
  <si>
    <t>나이</t>
    <phoneticPr fontId="2" type="noConversion"/>
  </si>
  <si>
    <t>주소</t>
    <phoneticPr fontId="2" type="noConversion"/>
  </si>
  <si>
    <t>입사일자</t>
    <phoneticPr fontId="2" type="noConversion"/>
  </si>
  <si>
    <t>년차</t>
    <phoneticPr fontId="2" type="noConversion"/>
  </si>
  <si>
    <t>연락처</t>
    <phoneticPr fontId="2" type="noConversion"/>
  </si>
  <si>
    <t>서울시 영등포구</t>
    <phoneticPr fontId="2" type="noConversion"/>
  </si>
  <si>
    <t>010-800*-1656</t>
  </si>
  <si>
    <t>서울시 광진구</t>
    <phoneticPr fontId="2" type="noConversion"/>
  </si>
  <si>
    <t>010-944*-2804</t>
  </si>
  <si>
    <t>서울시 도봉구</t>
    <phoneticPr fontId="2" type="noConversion"/>
  </si>
  <si>
    <t>010-302*-7620</t>
  </si>
  <si>
    <t>서울시 동작구</t>
    <phoneticPr fontId="2" type="noConversion"/>
  </si>
  <si>
    <t>010-650*-9005</t>
  </si>
  <si>
    <t>서울시 강북구</t>
    <phoneticPr fontId="2" type="noConversion"/>
  </si>
  <si>
    <t>010-392*-2286</t>
  </si>
  <si>
    <t>서울시 송파구</t>
    <phoneticPr fontId="2" type="noConversion"/>
  </si>
  <si>
    <t>010-315*-3108</t>
  </si>
  <si>
    <t>010-361*-6639</t>
  </si>
  <si>
    <t>010-026*-3054</t>
  </si>
  <si>
    <t>010-347*-6655</t>
  </si>
  <si>
    <t>서울시 양천구</t>
    <phoneticPr fontId="2" type="noConversion"/>
  </si>
  <si>
    <t>010-761*-6656</t>
  </si>
  <si>
    <t>나이 : 현재년도-출생년도+1</t>
    <phoneticPr fontId="2" type="noConversion"/>
  </si>
  <si>
    <t>년차 : 현재년도-입사년도+1</t>
    <phoneticPr fontId="2" type="noConversion"/>
  </si>
  <si>
    <t>2017년 10월 출근부</t>
    <phoneticPr fontId="2" type="noConversion"/>
  </si>
  <si>
    <t>수업
일수</t>
    <phoneticPr fontId="2" type="noConversion"/>
  </si>
  <si>
    <t>출석
일수</t>
    <phoneticPr fontId="2" type="noConversion"/>
  </si>
  <si>
    <t>출석률</t>
    <phoneticPr fontId="2" type="noConversion"/>
  </si>
  <si>
    <t>강감찬</t>
    <phoneticPr fontId="2" type="noConversion"/>
  </si>
  <si>
    <t>이순신</t>
    <phoneticPr fontId="2" type="noConversion"/>
  </si>
  <si>
    <t>계백</t>
    <phoneticPr fontId="2" type="noConversion"/>
  </si>
  <si>
    <t>김유신</t>
    <phoneticPr fontId="2" type="noConversion"/>
  </si>
  <si>
    <t>대조영</t>
    <phoneticPr fontId="2" type="noConversion"/>
  </si>
  <si>
    <t>공휴일</t>
    <phoneticPr fontId="2" type="noConversion"/>
  </si>
  <si>
    <t>TODAY</t>
    <phoneticPr fontId="2" type="noConversion"/>
  </si>
  <si>
    <t>NOW</t>
    <phoneticPr fontId="2" type="noConversion"/>
  </si>
  <si>
    <t>YEAR</t>
    <phoneticPr fontId="2" type="noConversion"/>
  </si>
  <si>
    <t>MONTH</t>
    <phoneticPr fontId="2" type="noConversion"/>
  </si>
  <si>
    <t>DAY</t>
    <phoneticPr fontId="2" type="noConversion"/>
  </si>
  <si>
    <t>DATE</t>
    <phoneticPr fontId="2" type="noConversion"/>
  </si>
  <si>
    <t>CHOOSE
WEEKDAY</t>
    <phoneticPr fontId="2" type="noConversion"/>
  </si>
  <si>
    <t>평일 / 주말</t>
    <phoneticPr fontId="2" type="noConversion"/>
  </si>
  <si>
    <t>WEEKDAY
옵션:3</t>
  </si>
  <si>
    <t>WEEKDAY
옵션:1
미국식</t>
    <phoneticPr fontId="2" type="noConversion"/>
  </si>
  <si>
    <t>WEEKDAY
옵션:2
한국식</t>
    <phoneticPr fontId="2" type="noConversion"/>
  </si>
  <si>
    <t>기준일 :</t>
    <phoneticPr fontId="2" type="noConversion"/>
  </si>
  <si>
    <t>옵션 : Y</t>
    <phoneticPr fontId="2" type="noConversion"/>
  </si>
  <si>
    <t>옵션 : M</t>
    <phoneticPr fontId="2" type="noConversion"/>
  </si>
  <si>
    <t>옵션 : D</t>
    <phoneticPr fontId="2" type="noConversion"/>
  </si>
  <si>
    <t>옵션: YM</t>
    <phoneticPr fontId="2" type="noConversion"/>
  </si>
  <si>
    <t>옵션 : MD</t>
    <phoneticPr fontId="2" type="noConversion"/>
  </si>
  <si>
    <t>시작날짜</t>
    <phoneticPr fontId="2" type="noConversion"/>
  </si>
  <si>
    <t>종료날짜</t>
    <phoneticPr fontId="2" type="noConversion"/>
  </si>
  <si>
    <t>옵션:M</t>
    <phoneticPr fontId="2" type="noConversion"/>
  </si>
  <si>
    <t>다음달1일</t>
    <phoneticPr fontId="2" type="noConversion"/>
  </si>
  <si>
    <t>EOMONTH</t>
    <phoneticPr fontId="2" type="noConversion"/>
  </si>
  <si>
    <t>년도</t>
    <phoneticPr fontId="2" type="noConversion"/>
  </si>
  <si>
    <t>월</t>
    <phoneticPr fontId="2" type="noConversion"/>
  </si>
  <si>
    <t>기준날짜</t>
    <phoneticPr fontId="2" type="noConversion"/>
  </si>
  <si>
    <t>ABC주식회사 컴퓨터 실무향상 교육 회차별 기간</t>
    <phoneticPr fontId="2" type="noConversion"/>
  </si>
  <si>
    <t>회차</t>
    <phoneticPr fontId="24" type="noConversion"/>
  </si>
  <si>
    <t>과목</t>
    <phoneticPr fontId="2" type="noConversion"/>
  </si>
  <si>
    <t>시작날짜</t>
    <phoneticPr fontId="24" type="noConversion"/>
  </si>
  <si>
    <t>교육일수</t>
    <phoneticPr fontId="2" type="noConversion"/>
  </si>
  <si>
    <t>종료날짜</t>
    <phoneticPr fontId="24" type="noConversion"/>
  </si>
  <si>
    <t>회차선택</t>
    <phoneticPr fontId="24" type="noConversion"/>
  </si>
  <si>
    <t>인수2</t>
    <phoneticPr fontId="2" type="noConversion"/>
  </si>
  <si>
    <t>결과값</t>
    <phoneticPr fontId="2" type="noConversion"/>
  </si>
  <si>
    <t>엑셀실무</t>
    <phoneticPr fontId="2" type="noConversion"/>
  </si>
  <si>
    <t>파워포인트 기초</t>
    <phoneticPr fontId="2" type="noConversion"/>
  </si>
  <si>
    <t>윈도우익히기</t>
    <phoneticPr fontId="2" type="noConversion"/>
  </si>
  <si>
    <t>컴퓨터보안</t>
    <phoneticPr fontId="2" type="noConversion"/>
  </si>
  <si>
    <t>네트워크 활용</t>
    <phoneticPr fontId="2" type="noConversion"/>
  </si>
  <si>
    <t>2017년</t>
    <phoneticPr fontId="2" type="noConversion"/>
  </si>
  <si>
    <t>2018년</t>
    <phoneticPr fontId="2" type="noConversion"/>
  </si>
  <si>
    <t>공휴일명</t>
    <phoneticPr fontId="2" type="noConversion"/>
  </si>
  <si>
    <t>신정</t>
    <phoneticPr fontId="2" type="noConversion"/>
  </si>
  <si>
    <t>설</t>
    <phoneticPr fontId="2" type="noConversion"/>
  </si>
  <si>
    <t>대체공휴일</t>
    <phoneticPr fontId="2" type="noConversion"/>
  </si>
  <si>
    <t>개천절</t>
    <phoneticPr fontId="2" type="noConversion"/>
  </si>
  <si>
    <t>석가탄신일</t>
    <phoneticPr fontId="2" type="noConversion"/>
  </si>
  <si>
    <t>어린이날</t>
    <phoneticPr fontId="2" type="noConversion"/>
  </si>
  <si>
    <t>대통령선거</t>
    <phoneticPr fontId="2" type="noConversion"/>
  </si>
  <si>
    <t>현충일</t>
    <phoneticPr fontId="2" type="noConversion"/>
  </si>
  <si>
    <t>광복절</t>
    <phoneticPr fontId="2" type="noConversion"/>
  </si>
  <si>
    <t>지방선거</t>
    <phoneticPr fontId="2" type="noConversion"/>
  </si>
  <si>
    <t>임시공휴일</t>
    <phoneticPr fontId="2" type="noConversion"/>
  </si>
  <si>
    <t>추석</t>
    <phoneticPr fontId="2" type="noConversion"/>
  </si>
  <si>
    <t>한글날</t>
    <phoneticPr fontId="2" type="noConversion"/>
  </si>
  <si>
    <t>크리스마스</t>
    <phoneticPr fontId="2" type="noConversion"/>
  </si>
  <si>
    <t>년도별 공휴일</t>
    <phoneticPr fontId="2" type="noConversion"/>
  </si>
  <si>
    <t>휴일</t>
    <phoneticPr fontId="2" type="noConversion"/>
  </si>
  <si>
    <t>배송도착예정일</t>
    <phoneticPr fontId="2" type="noConversion"/>
  </si>
  <si>
    <t>출발일</t>
    <phoneticPr fontId="2" type="noConversion"/>
  </si>
  <si>
    <t>도착일</t>
    <phoneticPr fontId="2" type="noConversion"/>
  </si>
  <si>
    <t>배송기간</t>
    <phoneticPr fontId="2" type="noConversion"/>
  </si>
  <si>
    <t>NETWORKDAYS</t>
    <phoneticPr fontId="2" type="noConversion"/>
  </si>
  <si>
    <t>WORKDAY</t>
    <phoneticPr fontId="2" type="noConversion"/>
  </si>
  <si>
    <t>시작날짜</t>
    <phoneticPr fontId="2" type="noConversion"/>
  </si>
  <si>
    <t>기간</t>
    <phoneticPr fontId="2" type="noConversion"/>
  </si>
  <si>
    <t>종료날짜</t>
    <phoneticPr fontId="2" type="noConversion"/>
  </si>
  <si>
    <t>코드</t>
    <phoneticPr fontId="2" type="noConversion"/>
  </si>
  <si>
    <t>MZ-85</t>
    <phoneticPr fontId="2" type="noConversion"/>
  </si>
  <si>
    <t>Z-75</t>
    <phoneticPr fontId="2" type="noConversion"/>
  </si>
  <si>
    <t>Q-73</t>
    <phoneticPr fontId="2" type="noConversion"/>
  </si>
  <si>
    <t>ROP-54</t>
    <phoneticPr fontId="2" type="noConversion"/>
  </si>
  <si>
    <t>코드의 숫자부분들을 추출하여 더하시오.</t>
    <phoneticPr fontId="2" type="noConversion"/>
  </si>
  <si>
    <t>전기오토바이 판매현황</t>
    <phoneticPr fontId="2" type="noConversion"/>
  </si>
  <si>
    <t>생활비 가계부</t>
    <phoneticPr fontId="2" type="noConversion"/>
  </si>
  <si>
    <t>&lt;A단가&gt;</t>
    <phoneticPr fontId="2" type="noConversion"/>
  </si>
  <si>
    <t>&lt;B단가&gt;</t>
    <phoneticPr fontId="2" type="noConversion"/>
  </si>
  <si>
    <t>제품명</t>
    <phoneticPr fontId="26" type="noConversion"/>
  </si>
  <si>
    <t>종류</t>
    <phoneticPr fontId="26" type="noConversion"/>
  </si>
  <si>
    <t>분류</t>
    <phoneticPr fontId="26" type="noConversion"/>
  </si>
  <si>
    <t>출시일</t>
    <phoneticPr fontId="26" type="noConversion"/>
  </si>
  <si>
    <t>가격</t>
    <phoneticPr fontId="26" type="noConversion"/>
  </si>
  <si>
    <t>할인율</t>
    <phoneticPr fontId="26" type="noConversion"/>
  </si>
  <si>
    <t>판매량</t>
    <phoneticPr fontId="26" type="noConversion"/>
  </si>
  <si>
    <t xml:space="preserve">생활비 사용가능 금액 : </t>
    <phoneticPr fontId="2" type="noConversion"/>
  </si>
  <si>
    <t>루디아3</t>
    <phoneticPr fontId="26" type="noConversion"/>
  </si>
  <si>
    <t>스쿠터</t>
    <phoneticPr fontId="26" type="noConversion"/>
  </si>
  <si>
    <t>가사용</t>
    <phoneticPr fontId="26" type="noConversion"/>
  </si>
  <si>
    <t>들어온돈</t>
    <phoneticPr fontId="2" type="noConversion"/>
  </si>
  <si>
    <t>나간돈</t>
    <phoneticPr fontId="2" type="noConversion"/>
  </si>
  <si>
    <t>잔액</t>
    <phoneticPr fontId="2" type="noConversion"/>
  </si>
  <si>
    <t>데이빗5</t>
    <phoneticPr fontId="26" type="noConversion"/>
  </si>
  <si>
    <t>화물운반용</t>
    <phoneticPr fontId="26" type="noConversion"/>
  </si>
  <si>
    <t>사업용</t>
    <phoneticPr fontId="26" type="noConversion"/>
  </si>
  <si>
    <t>전월이월</t>
    <phoneticPr fontId="2" type="noConversion"/>
  </si>
  <si>
    <t>삼손3</t>
    <phoneticPr fontId="26" type="noConversion"/>
  </si>
  <si>
    <t>출퇴근용</t>
    <phoneticPr fontId="26" type="noConversion"/>
  </si>
  <si>
    <t>골리앗3</t>
    <phoneticPr fontId="26" type="noConversion"/>
  </si>
  <si>
    <t>AM-100 / 40K</t>
  </si>
  <si>
    <t>피터5</t>
    <phoneticPr fontId="26" type="noConversion"/>
  </si>
  <si>
    <t>경기용</t>
    <phoneticPr fontId="26" type="noConversion"/>
  </si>
  <si>
    <t>매니아용</t>
    <phoneticPr fontId="26" type="noConversion"/>
  </si>
  <si>
    <t>AM-200 / 10K</t>
    <phoneticPr fontId="2" type="noConversion"/>
  </si>
  <si>
    <t>존9</t>
    <phoneticPr fontId="26" type="noConversion"/>
  </si>
  <si>
    <t>AM-200 / 20K</t>
    <phoneticPr fontId="2" type="noConversion"/>
  </si>
  <si>
    <t>퓨마5</t>
    <phoneticPr fontId="26" type="noConversion"/>
  </si>
  <si>
    <t>AM-200 / 30K</t>
    <phoneticPr fontId="2" type="noConversion"/>
  </si>
  <si>
    <t>마야2</t>
    <phoneticPr fontId="26" type="noConversion"/>
  </si>
  <si>
    <t>AM-200 / 40K</t>
    <phoneticPr fontId="2" type="noConversion"/>
  </si>
  <si>
    <t>판매량이 가장 많은 제품의 종류는?</t>
    <phoneticPr fontId="2" type="noConversion"/>
  </si>
  <si>
    <t>할인율이 가장 높은 제품명은?</t>
    <phoneticPr fontId="2" type="noConversion"/>
  </si>
  <si>
    <t>피터5</t>
    <phoneticPr fontId="2" type="noConversion"/>
  </si>
  <si>
    <t>A</t>
  </si>
  <si>
    <t>출시일이 가장 빠른 제품의 가격은?</t>
    <phoneticPr fontId="2" type="noConversion"/>
  </si>
  <si>
    <t>가장 비싼 제품의 분류는?</t>
    <phoneticPr fontId="2" type="noConversion"/>
  </si>
  <si>
    <t>매니아용</t>
    <phoneticPr fontId="2" type="noConversion"/>
  </si>
  <si>
    <t>스쿠터</t>
    <phoneticPr fontId="2" type="noConversion"/>
  </si>
  <si>
    <t>1. MATCH함수의 정의 및 활용</t>
    <phoneticPr fontId="2" type="noConversion"/>
  </si>
  <si>
    <t>2. 옵션</t>
    <phoneticPr fontId="2" type="noConversion"/>
  </si>
  <si>
    <t>옵션 : -1</t>
    <phoneticPr fontId="2" type="noConversion"/>
  </si>
  <si>
    <t>옵션 :  0</t>
    <phoneticPr fontId="2" type="noConversion"/>
  </si>
  <si>
    <t>옵션 :  1</t>
    <phoneticPr fontId="2" type="noConversion"/>
  </si>
  <si>
    <t>오름차순</t>
    <phoneticPr fontId="2" type="noConversion"/>
  </si>
  <si>
    <t>내림차순</t>
    <phoneticPr fontId="2" type="noConversion"/>
  </si>
  <si>
    <t>규칙없음</t>
    <phoneticPr fontId="2" type="noConversion"/>
  </si>
  <si>
    <t>퓨마5</t>
  </si>
  <si>
    <t>&lt;단가표&gt;</t>
  </si>
  <si>
    <t>&lt;우리마트 일일 판매현황&gt;</t>
  </si>
  <si>
    <t>코드번호</t>
    <phoneticPr fontId="2" type="noConversion"/>
  </si>
  <si>
    <t>당도</t>
  </si>
  <si>
    <t>시간</t>
  </si>
  <si>
    <t>수량</t>
  </si>
  <si>
    <t>주제</t>
    <phoneticPr fontId="2" type="noConversion"/>
  </si>
  <si>
    <t>M1</t>
    <phoneticPr fontId="2" type="noConversion"/>
  </si>
  <si>
    <t>바나나</t>
  </si>
  <si>
    <t>딸기</t>
    <phoneticPr fontId="2" type="noConversion"/>
  </si>
  <si>
    <t>주체보다 왼쪽편에 있는 열을 불러올 수 있다.</t>
    <phoneticPr fontId="2" type="noConversion"/>
  </si>
  <si>
    <t>N5</t>
    <phoneticPr fontId="2" type="noConversion"/>
  </si>
  <si>
    <t>딸기</t>
  </si>
  <si>
    <t>포도</t>
  </si>
  <si>
    <t>G7</t>
    <phoneticPr fontId="2" type="noConversion"/>
  </si>
  <si>
    <t>수박</t>
  </si>
  <si>
    <t>무조건 참조표가 오름차순이어야 한다.</t>
    <phoneticPr fontId="2" type="noConversion"/>
  </si>
  <si>
    <t>H2</t>
    <phoneticPr fontId="2" type="noConversion"/>
  </si>
  <si>
    <t>M10</t>
    <phoneticPr fontId="2" type="noConversion"/>
  </si>
  <si>
    <t>복숭아</t>
  </si>
  <si>
    <t>F6</t>
    <phoneticPr fontId="2" type="noConversion"/>
  </si>
  <si>
    <t>사과</t>
  </si>
  <si>
    <t>B7</t>
    <phoneticPr fontId="2" type="noConversion"/>
  </si>
  <si>
    <t>배</t>
  </si>
  <si>
    <t>V8</t>
    <phoneticPr fontId="2" type="noConversion"/>
  </si>
  <si>
    <t>한라봉</t>
  </si>
  <si>
    <t>합계</t>
  </si>
  <si>
    <t>A그룹
B그룹
C그룹</t>
    <phoneticPr fontId="2" type="noConversion"/>
  </si>
  <si>
    <t>물탱크(L)</t>
    <phoneticPr fontId="2" type="noConversion"/>
  </si>
  <si>
    <t>하루평균
물사용량</t>
    <phoneticPr fontId="2" type="noConversion"/>
  </si>
  <si>
    <t>사용가능
일수</t>
    <phoneticPr fontId="2" type="noConversion"/>
  </si>
  <si>
    <t>831008-2******</t>
  </si>
  <si>
    <t>720916-2******</t>
  </si>
  <si>
    <t>800722-2******</t>
  </si>
  <si>
    <t>721218-2******</t>
  </si>
  <si>
    <t>740606-1******</t>
  </si>
  <si>
    <t>770529-2******</t>
  </si>
  <si>
    <t>700422-1******</t>
  </si>
  <si>
    <t>720719-1******</t>
  </si>
  <si>
    <t>851223-1******</t>
  </si>
  <si>
    <t>860602-2******</t>
  </si>
  <si>
    <t>840513-2******</t>
  </si>
  <si>
    <t>870613-1******</t>
  </si>
  <si>
    <t>770121-1******</t>
  </si>
  <si>
    <t>711013-2******</t>
  </si>
  <si>
    <t>840417-1******</t>
  </si>
  <si>
    <t>801104-2******</t>
  </si>
  <si>
    <t>810523-2******</t>
  </si>
  <si>
    <t>740824-1******</t>
  </si>
  <si>
    <t>860321-1******</t>
  </si>
  <si>
    <t>790704-1******</t>
  </si>
  <si>
    <t>810405-1******</t>
  </si>
  <si>
    <t>721202-1******</t>
  </si>
  <si>
    <t>790828-1******</t>
  </si>
  <si>
    <t>821130-2******</t>
  </si>
  <si>
    <t>710502-2******</t>
  </si>
  <si>
    <t>831013-1******</t>
  </si>
  <si>
    <t>880619-2******</t>
  </si>
  <si>
    <t>840503-1******</t>
  </si>
  <si>
    <t>750128-1******</t>
  </si>
  <si>
    <t>761220-1******</t>
  </si>
  <si>
    <t>910528-2******</t>
  </si>
  <si>
    <t>900422-2******</t>
  </si>
  <si>
    <t>810612-1******</t>
  </si>
  <si>
    <t>830811-1******</t>
  </si>
  <si>
    <t>830118-1******</t>
  </si>
  <si>
    <t>831203-1******</t>
  </si>
  <si>
    <t>780501-1******</t>
  </si>
  <si>
    <t>730214-1******</t>
  </si>
  <si>
    <t>830125-1******</t>
  </si>
  <si>
    <t>831008-1******</t>
  </si>
  <si>
    <t>860327-1******</t>
  </si>
  <si>
    <t>721017-2******</t>
  </si>
  <si>
    <t>720206-1******</t>
  </si>
  <si>
    <t>811016-1******</t>
  </si>
  <si>
    <t>791007-2******</t>
  </si>
  <si>
    <t>860129-2******</t>
  </si>
  <si>
    <t>790330-1******</t>
  </si>
  <si>
    <t>710912-1******</t>
  </si>
  <si>
    <t>710216-1******</t>
  </si>
  <si>
    <t>860130-1******</t>
  </si>
  <si>
    <t>800706-1******</t>
  </si>
  <si>
    <t>881204-1******</t>
  </si>
  <si>
    <t>811115-1******</t>
  </si>
  <si>
    <t>860707-1******</t>
  </si>
  <si>
    <t>761227-1******</t>
  </si>
  <si>
    <t>900103-1******</t>
  </si>
  <si>
    <t>900713-2******</t>
  </si>
  <si>
    <t>010603-3******</t>
    <phoneticPr fontId="2" type="noConversion"/>
  </si>
  <si>
    <t>070723-4******</t>
    <phoneticPr fontId="2" type="noConversion"/>
  </si>
  <si>
    <t>050503-3******</t>
    <phoneticPr fontId="2" type="noConversion"/>
  </si>
  <si>
    <t>041226-4******</t>
    <phoneticPr fontId="2" type="noConversion"/>
  </si>
  <si>
    <t>040903-3******</t>
    <phoneticPr fontId="2" type="noConversion"/>
  </si>
  <si>
    <t>140516-4******</t>
    <phoneticPr fontId="2" type="noConversion"/>
  </si>
  <si>
    <t>040611-3******</t>
    <phoneticPr fontId="2" type="noConversion"/>
  </si>
  <si>
    <t>740605-2******</t>
    <phoneticPr fontId="2" type="noConversion"/>
  </si>
  <si>
    <t>080415-3******</t>
    <phoneticPr fontId="2" type="noConversion"/>
  </si>
  <si>
    <t>091205-3******</t>
    <phoneticPr fontId="2" type="noConversion"/>
  </si>
  <si>
    <t>090205-3******</t>
    <phoneticPr fontId="2" type="noConversion"/>
  </si>
  <si>
    <t>140409-4******</t>
    <phoneticPr fontId="2" type="noConversion"/>
  </si>
  <si>
    <t>150719-3******</t>
    <phoneticPr fontId="2" type="noConversion"/>
  </si>
  <si>
    <t>등수</t>
    <phoneticPr fontId="2" type="noConversion"/>
  </si>
  <si>
    <t>조건부서식</t>
    <phoneticPr fontId="2" type="noConversion"/>
  </si>
  <si>
    <t>* 순위에서 1,2,3등은 금,은,동으로 표시</t>
    <phoneticPr fontId="2" type="noConversion"/>
  </si>
  <si>
    <t>* 4등부터는 등수가 그대로 표시</t>
    <phoneticPr fontId="2" type="noConversion"/>
  </si>
  <si>
    <t>선수</t>
    <phoneticPr fontId="2" type="noConversion"/>
  </si>
  <si>
    <t>코드번호</t>
    <phoneticPr fontId="2" type="noConversion"/>
  </si>
  <si>
    <t>의미</t>
    <phoneticPr fontId="2" type="noConversion"/>
  </si>
  <si>
    <t>류현진</t>
    <phoneticPr fontId="2" type="noConversion"/>
  </si>
  <si>
    <t>A</t>
    <phoneticPr fontId="2" type="noConversion"/>
  </si>
  <si>
    <t>2010년</t>
    <phoneticPr fontId="2" type="noConversion"/>
  </si>
  <si>
    <t>이종범</t>
    <phoneticPr fontId="2" type="noConversion"/>
  </si>
  <si>
    <t>B</t>
    <phoneticPr fontId="2" type="noConversion"/>
  </si>
  <si>
    <t>2011년</t>
    <phoneticPr fontId="2" type="noConversion"/>
  </si>
  <si>
    <t>강민호</t>
    <phoneticPr fontId="2" type="noConversion"/>
  </si>
  <si>
    <t>C</t>
    <phoneticPr fontId="2" type="noConversion"/>
  </si>
  <si>
    <t>2012년</t>
  </si>
  <si>
    <t>이대호</t>
    <phoneticPr fontId="2" type="noConversion"/>
  </si>
  <si>
    <t>D</t>
    <phoneticPr fontId="2" type="noConversion"/>
  </si>
  <si>
    <t>2013년</t>
  </si>
  <si>
    <t>김현수</t>
    <phoneticPr fontId="2" type="noConversion"/>
  </si>
  <si>
    <t>E</t>
    <phoneticPr fontId="2" type="noConversion"/>
  </si>
  <si>
    <t>2014년</t>
  </si>
  <si>
    <t>박찬호</t>
    <phoneticPr fontId="2" type="noConversion"/>
  </si>
  <si>
    <t>F</t>
    <phoneticPr fontId="2" type="noConversion"/>
  </si>
  <si>
    <t>2015년</t>
  </si>
  <si>
    <t>양준혁</t>
    <phoneticPr fontId="2" type="noConversion"/>
  </si>
  <si>
    <t>G</t>
    <phoneticPr fontId="2" type="noConversion"/>
  </si>
  <si>
    <t>2016년</t>
  </si>
  <si>
    <t>이승엽</t>
    <phoneticPr fontId="2" type="noConversion"/>
  </si>
  <si>
    <t>H</t>
    <phoneticPr fontId="2" type="noConversion"/>
  </si>
  <si>
    <t>2017년</t>
  </si>
  <si>
    <t>장혜진</t>
    <phoneticPr fontId="2" type="noConversion"/>
  </si>
  <si>
    <t>I</t>
    <phoneticPr fontId="2" type="noConversion"/>
  </si>
  <si>
    <t>2018년</t>
  </si>
  <si>
    <t>J</t>
    <phoneticPr fontId="2" type="noConversion"/>
  </si>
  <si>
    <t>최미선</t>
    <phoneticPr fontId="2" type="noConversion"/>
  </si>
  <si>
    <t>J</t>
    <phoneticPr fontId="2" type="noConversion"/>
  </si>
  <si>
    <t>2019년</t>
  </si>
  <si>
    <t>기보배</t>
    <phoneticPr fontId="2" type="noConversion"/>
  </si>
  <si>
    <t>이승윤</t>
    <phoneticPr fontId="2" type="noConversion"/>
  </si>
  <si>
    <t>김우진</t>
    <phoneticPr fontId="2" type="noConversion"/>
  </si>
  <si>
    <t>구본찬</t>
    <phoneticPr fontId="2" type="noConversion"/>
  </si>
  <si>
    <t>박상영</t>
    <phoneticPr fontId="2" type="noConversion"/>
  </si>
  <si>
    <t>진종오</t>
    <phoneticPr fontId="2" type="noConversion"/>
  </si>
  <si>
    <t>오혜리</t>
    <phoneticPr fontId="2" type="noConversion"/>
  </si>
  <si>
    <t>김소희</t>
    <phoneticPr fontId="2" type="noConversion"/>
  </si>
  <si>
    <t>박인비</t>
    <phoneticPr fontId="2" type="noConversion"/>
  </si>
  <si>
    <t>* 기초</t>
    <phoneticPr fontId="2" type="noConversion"/>
  </si>
  <si>
    <t>* 주체에 ±1, 2등을 활용한다.</t>
    <phoneticPr fontId="2" type="noConversion"/>
  </si>
  <si>
    <t>* CHOOSE-WEEKDAY</t>
    <phoneticPr fontId="2" type="noConversion"/>
  </si>
  <si>
    <t>양수</t>
    <phoneticPr fontId="2" type="noConversion"/>
  </si>
  <si>
    <t>CHOOSE함수</t>
    <phoneticPr fontId="2" type="noConversion"/>
  </si>
  <si>
    <t>1 : 서울</t>
    <phoneticPr fontId="2" type="noConversion"/>
  </si>
  <si>
    <t>0 : 서울</t>
    <phoneticPr fontId="2" type="noConversion"/>
  </si>
  <si>
    <t>2 : 부산</t>
    <phoneticPr fontId="2" type="noConversion"/>
  </si>
  <si>
    <t>1 : 부산</t>
    <phoneticPr fontId="2" type="noConversion"/>
  </si>
  <si>
    <t>3 : 대구</t>
    <phoneticPr fontId="2" type="noConversion"/>
  </si>
  <si>
    <t>2 : 대구</t>
    <phoneticPr fontId="2" type="noConversion"/>
  </si>
  <si>
    <t>4 : 대전</t>
    <phoneticPr fontId="2" type="noConversion"/>
  </si>
  <si>
    <t>3 : 대전</t>
    <phoneticPr fontId="2" type="noConversion"/>
  </si>
  <si>
    <t>5 : 광주</t>
    <phoneticPr fontId="2" type="noConversion"/>
  </si>
  <si>
    <t>4 : 광주</t>
    <phoneticPr fontId="2" type="noConversion"/>
  </si>
  <si>
    <t>날짜</t>
    <phoneticPr fontId="2" type="noConversion"/>
  </si>
  <si>
    <t>WEEKDAY</t>
    <phoneticPr fontId="2" type="noConversion"/>
  </si>
  <si>
    <t>CHOOSE
WEEKDAY</t>
    <phoneticPr fontId="2" type="noConversion"/>
  </si>
  <si>
    <t>번호</t>
    <phoneticPr fontId="2" type="noConversion"/>
  </si>
  <si>
    <t>현대자동차㈜</t>
  </si>
  <si>
    <t>50K</t>
  </si>
  <si>
    <t>삼성전자㈜</t>
  </si>
  <si>
    <t>현대모비스㈜</t>
  </si>
  <si>
    <t>엘지전자㈜</t>
  </si>
  <si>
    <t>㈜대우인터내셔널</t>
  </si>
  <si>
    <t>㈜포스코</t>
  </si>
  <si>
    <t>㈜대한항공</t>
  </si>
  <si>
    <t>기아자동차㈜</t>
  </si>
  <si>
    <t>REPT함수</t>
    <phoneticPr fontId="2" type="noConversion"/>
  </si>
  <si>
    <t>ROWS : 특정범위의 행갯수</t>
    <phoneticPr fontId="2" type="noConversion"/>
  </si>
  <si>
    <t>COLUMNS : 특정범위의 열갯수</t>
    <phoneticPr fontId="2" type="noConversion"/>
  </si>
  <si>
    <t>1. 연습 - 대문자"E"가 몇번째에 있는지 찾으시오.</t>
    <phoneticPr fontId="2" type="noConversion"/>
  </si>
  <si>
    <t>AeBCDE</t>
    <phoneticPr fontId="2" type="noConversion"/>
  </si>
  <si>
    <t>ABCDF</t>
    <phoneticPr fontId="2" type="noConversion"/>
  </si>
  <si>
    <t>2. 다음 데이터에서 "중구"만 추출하시오</t>
    <phoneticPr fontId="2" type="noConversion"/>
  </si>
  <si>
    <t>부산광역시 중구 중앙동</t>
    <phoneticPr fontId="2" type="noConversion"/>
  </si>
  <si>
    <t>부산시 중구 중앙동</t>
    <phoneticPr fontId="2" type="noConversion"/>
  </si>
  <si>
    <t>부산 중구 중앙동</t>
    <phoneticPr fontId="2" type="noConversion"/>
  </si>
  <si>
    <t>3. 숫자만 추출하시오. 그리고 숫자로 인식되도록 하시오.</t>
    <phoneticPr fontId="2" type="noConversion"/>
  </si>
  <si>
    <t>MZ-57</t>
    <phoneticPr fontId="2" type="noConversion"/>
  </si>
  <si>
    <t>GKY-85</t>
    <phoneticPr fontId="2" type="noConversion"/>
  </si>
  <si>
    <t>A-1468</t>
    <phoneticPr fontId="2" type="noConversion"/>
  </si>
  <si>
    <t>4. 이메일주소에서 아이디만 추출하시오. (예 : ABC@NAVER.COM -&gt; ABC)</t>
    <phoneticPr fontId="2" type="noConversion"/>
  </si>
  <si>
    <t>aaa@naver.com</t>
    <phoneticPr fontId="2" type="noConversion"/>
  </si>
  <si>
    <t>bbbb@daum.net</t>
    <phoneticPr fontId="2" type="noConversion"/>
  </si>
  <si>
    <t>cc@gmail.com</t>
    <phoneticPr fontId="2" type="noConversion"/>
  </si>
  <si>
    <t>5. 숫자부분만 추출하시오.</t>
    <phoneticPr fontId="2" type="noConversion"/>
  </si>
  <si>
    <t>ABC-DEF-8795</t>
    <phoneticPr fontId="2" type="noConversion"/>
  </si>
  <si>
    <t>ABCDEFGH-I-959</t>
    <phoneticPr fontId="2" type="noConversion"/>
  </si>
  <si>
    <t>ABCDEF-GHIJ-96975</t>
    <phoneticPr fontId="2" type="noConversion"/>
  </si>
  <si>
    <t>6. 남구에만 행사지역으로 표시하시오.</t>
    <phoneticPr fontId="2" type="noConversion"/>
  </si>
  <si>
    <t>부산시 북구 덕천동</t>
    <phoneticPr fontId="2" type="noConversion"/>
  </si>
  <si>
    <t>부산시 남구 용호동</t>
    <phoneticPr fontId="2" type="noConversion"/>
  </si>
  <si>
    <t>부산시 서구 대신동</t>
    <phoneticPr fontId="2" type="noConversion"/>
  </si>
  <si>
    <t>부산시 해운대구 우동</t>
    <phoneticPr fontId="2" type="noConversion"/>
  </si>
  <si>
    <t>부산시 남구 문현동</t>
    <phoneticPr fontId="2" type="noConversion"/>
  </si>
  <si>
    <t>연습</t>
    <phoneticPr fontId="2" type="noConversion"/>
  </si>
  <si>
    <t>2. 수식으로 기간만들기</t>
    <phoneticPr fontId="2" type="noConversion"/>
  </si>
  <si>
    <t>기간 :</t>
    <phoneticPr fontId="2" type="noConversion"/>
  </si>
  <si>
    <t>~</t>
    <phoneticPr fontId="2" type="noConversion"/>
  </si>
  <si>
    <t>1. 두가지의 주체가 섞여있는 경우</t>
    <phoneticPr fontId="2" type="noConversion"/>
  </si>
  <si>
    <t xml:space="preserve">   1-1. 셀서식을 쓰면 되는 경우</t>
    <phoneticPr fontId="2" type="noConversion"/>
  </si>
  <si>
    <t>예제</t>
    <phoneticPr fontId="2" type="noConversion"/>
  </si>
  <si>
    <t>셀서식</t>
    <phoneticPr fontId="2" type="noConversion"/>
  </si>
  <si>
    <t>TEXT함수</t>
    <phoneticPr fontId="2" type="noConversion"/>
  </si>
  <si>
    <t>3. 억지로 자릿수 만들기</t>
    <phoneticPr fontId="2" type="noConversion"/>
  </si>
  <si>
    <t>백억</t>
    <phoneticPr fontId="2" type="noConversion"/>
  </si>
  <si>
    <t>십억</t>
    <phoneticPr fontId="2" type="noConversion"/>
  </si>
  <si>
    <t>억</t>
    <phoneticPr fontId="2" type="noConversion"/>
  </si>
  <si>
    <t>천만</t>
    <phoneticPr fontId="2" type="noConversion"/>
  </si>
  <si>
    <t>백만</t>
    <phoneticPr fontId="2" type="noConversion"/>
  </si>
  <si>
    <t>십만</t>
    <phoneticPr fontId="2" type="noConversion"/>
  </si>
  <si>
    <t>만</t>
    <phoneticPr fontId="2" type="noConversion"/>
  </si>
  <si>
    <t>천</t>
    <phoneticPr fontId="2" type="noConversion"/>
  </si>
  <si>
    <t>백</t>
    <phoneticPr fontId="2" type="noConversion"/>
  </si>
  <si>
    <t>십</t>
    <phoneticPr fontId="2" type="noConversion"/>
  </si>
  <si>
    <t>일</t>
    <phoneticPr fontId="2" type="noConversion"/>
  </si>
  <si>
    <t>합계 : 6,000원</t>
    <phoneticPr fontId="2" type="noConversion"/>
  </si>
  <si>
    <t xml:space="preserve">   1-2. TEXT함수를 써야만 하는 경우</t>
    <phoneticPr fontId="2" type="noConversion"/>
  </si>
  <si>
    <t>6,000(2,000)</t>
    <phoneticPr fontId="2" type="noConversion"/>
  </si>
  <si>
    <t>=MID(TEXT($K19,"???????????"),COLUMN()-11,1)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</si>
</sst>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2" formatCode="_-&quot;₩&quot;* #,##0_-;\-&quot;₩&quot;* #,##0_-;_-&quot;₩&quot;* &quot;-&quot;_-;_-@_-"/>
    <numFmt numFmtId="41" formatCode="_-* #,##0_-;\-* #,##0_-;_-* &quot;-&quot;_-;_-@_-"/>
    <numFmt numFmtId="176" formatCode="_-* #,###_-"/>
    <numFmt numFmtId="177" formatCode="_-* #,##0_-;\-* #,##0_-;_-* &quot;-&quot;??_-;_-@_-"/>
    <numFmt numFmtId="178" formatCode="d"/>
    <numFmt numFmtId="179" formatCode="&quot;2017년 &quot;General&quot;월 출근부&quot;"/>
    <numFmt numFmtId="180" formatCode="mm&quot;월&quot;\ dd&quot;일&quot;"/>
    <numFmt numFmtId="181" formatCode="[$-F800]dddd\,\ mmmm\ dd\,\ yyyy"/>
    <numFmt numFmtId="182" formatCode="&quot;2017년 &quot;m&quot;월 출석부&quot;"/>
    <numFmt numFmtId="183" formatCode="yyyy/mm/dd\ \(aaa\)"/>
    <numFmt numFmtId="184" formatCode="General&quot;일&quot;"/>
    <numFmt numFmtId="185" formatCode="yyyy/mm/dd\(aaa\)"/>
    <numFmt numFmtId="186" formatCode="yyyy\.mm\.dd\(aaa\)"/>
    <numFmt numFmtId="187" formatCode="h:mm;@"/>
    <numFmt numFmtId="188" formatCode="#,##0&quot;원&quot;"/>
    <numFmt numFmtId="189" formatCode="&quot;합계 : &quot;#,##0&quot;원&quot;"/>
  </numFmts>
  <fonts count="30">
    <font>
      <sz val="11"/>
      <color theme="1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1"/>
      <color rgb="FF0070C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Adobe 고딕 Std B"/>
      <family val="2"/>
      <charset val="129"/>
    </font>
    <font>
      <sz val="11"/>
      <color theme="1"/>
      <name val="맑은 고딕"/>
      <family val="3"/>
      <charset val="129"/>
    </font>
    <font>
      <sz val="18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20"/>
      <color theme="1"/>
      <name val="맑은 고딕"/>
      <family val="2"/>
      <charset val="129"/>
      <scheme val="minor"/>
    </font>
    <font>
      <b/>
      <sz val="12"/>
      <name val="맑은 고딕"/>
      <family val="3"/>
      <charset val="129"/>
      <scheme val="minor"/>
    </font>
    <font>
      <sz val="8"/>
      <name val="돋움"/>
      <family val="3"/>
      <charset val="129"/>
    </font>
    <font>
      <sz val="12"/>
      <name val="맑은 고딕"/>
      <family val="3"/>
      <charset val="129"/>
      <scheme val="minor"/>
    </font>
    <font>
      <sz val="8"/>
      <name val="맑은 고딕"/>
      <family val="2"/>
      <charset val="129"/>
    </font>
    <font>
      <sz val="9"/>
      <color theme="1"/>
      <name val="맑은 고딕"/>
      <family val="2"/>
      <charset val="129"/>
      <scheme val="minor"/>
    </font>
    <font>
      <sz val="12"/>
      <color theme="1"/>
      <name val="맑은 고딕"/>
      <family val="2"/>
      <charset val="129"/>
      <scheme val="minor"/>
    </font>
    <font>
      <sz val="8"/>
      <color theme="1"/>
      <name val="맑은 고딕"/>
      <family val="2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</cellStyleXfs>
  <cellXfs count="272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quotePrefix="1" applyBorder="1" applyAlignment="1">
      <alignment horizontal="center" vertical="center"/>
    </xf>
    <xf numFmtId="0" fontId="0" fillId="0" borderId="1" xfId="0" applyBorder="1" applyAlignment="1">
      <alignment vertical="center" wrapText="1"/>
    </xf>
    <xf numFmtId="0" fontId="0" fillId="0" borderId="1" xfId="0" applyBorder="1">
      <alignment vertical="center"/>
    </xf>
    <xf numFmtId="0" fontId="1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0" fontId="0" fillId="0" borderId="2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4" fillId="0" borderId="0" xfId="0" applyFont="1" applyBorder="1" applyAlignmen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Border="1" applyAlignment="1">
      <alignment vertical="center" wrapText="1"/>
    </xf>
    <xf numFmtId="0" fontId="5" fillId="0" borderId="0" xfId="0" applyFont="1" applyBorder="1" applyAlignment="1">
      <alignment vertical="center"/>
    </xf>
    <xf numFmtId="0" fontId="0" fillId="0" borderId="4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3" borderId="1" xfId="0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0" fontId="0" fillId="3" borderId="10" xfId="0" applyFill="1" applyBorder="1" applyAlignment="1">
      <alignment horizontal="center" vertical="center"/>
    </xf>
    <xf numFmtId="0" fontId="5" fillId="0" borderId="0" xfId="0" applyFont="1">
      <alignment vertical="center"/>
    </xf>
    <xf numFmtId="0" fontId="7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4" borderId="14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0" fillId="2" borderId="15" xfId="0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" xfId="0" applyBorder="1" applyAlignment="1">
      <alignment vertical="center"/>
    </xf>
    <xf numFmtId="14" fontId="0" fillId="0" borderId="1" xfId="0" applyNumberFormat="1" applyBorder="1" applyAlignment="1">
      <alignment horizontal="center" vertical="center"/>
    </xf>
    <xf numFmtId="41" fontId="0" fillId="0" borderId="1" xfId="1" applyFont="1" applyBorder="1">
      <alignment vertical="center"/>
    </xf>
    <xf numFmtId="0" fontId="7" fillId="0" borderId="1" xfId="0" applyFont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41" fontId="0" fillId="0" borderId="1" xfId="0" applyNumberFormat="1" applyBorder="1">
      <alignment vertical="center"/>
    </xf>
    <xf numFmtId="41" fontId="0" fillId="0" borderId="1" xfId="1" applyFont="1" applyFill="1" applyBorder="1" applyAlignment="1">
      <alignment horizontal="center" vertical="center"/>
    </xf>
    <xf numFmtId="0" fontId="0" fillId="0" borderId="0" xfId="0" quotePrefix="1">
      <alignment vertical="center"/>
    </xf>
    <xf numFmtId="0" fontId="0" fillId="0" borderId="10" xfId="0" applyBorder="1" applyAlignment="1">
      <alignment horizontal="center" vertical="center"/>
    </xf>
    <xf numFmtId="0" fontId="0" fillId="0" borderId="1" xfId="0" quotePrefix="1" applyBorder="1">
      <alignment vertical="center"/>
    </xf>
    <xf numFmtId="0" fontId="0" fillId="2" borderId="1" xfId="0" applyFill="1" applyBorder="1" applyAlignment="1" applyProtection="1">
      <alignment horizontal="center" vertical="center"/>
    </xf>
    <xf numFmtId="0" fontId="0" fillId="0" borderId="1" xfId="0" applyFill="1" applyBorder="1" applyAlignment="1" applyProtection="1">
      <alignment horizontal="center" vertical="center"/>
    </xf>
    <xf numFmtId="41" fontId="0" fillId="0" borderId="1" xfId="1" applyFont="1" applyFill="1" applyBorder="1" applyAlignment="1" applyProtection="1">
      <alignment horizontal="center" vertical="center"/>
    </xf>
    <xf numFmtId="176" fontId="0" fillId="0" borderId="1" xfId="0" applyNumberFormat="1" applyFill="1" applyBorder="1" applyAlignment="1" applyProtection="1">
      <alignment horizontal="center" vertical="center"/>
    </xf>
    <xf numFmtId="0" fontId="12" fillId="0" borderId="4" xfId="0" applyFont="1" applyBorder="1" applyAlignment="1">
      <alignment vertical="center"/>
    </xf>
    <xf numFmtId="0" fontId="11" fillId="0" borderId="5" xfId="0" applyFont="1" applyBorder="1" applyAlignment="1">
      <alignment vertical="center"/>
    </xf>
    <xf numFmtId="0" fontId="0" fillId="0" borderId="5" xfId="0" applyBorder="1">
      <alignment vertical="center"/>
    </xf>
    <xf numFmtId="0" fontId="0" fillId="0" borderId="14" xfId="0" applyBorder="1">
      <alignment vertical="center"/>
    </xf>
    <xf numFmtId="0" fontId="0" fillId="0" borderId="3" xfId="0" applyBorder="1" applyAlignment="1">
      <alignment horizontal="center" vertical="center"/>
    </xf>
    <xf numFmtId="41" fontId="13" fillId="0" borderId="1" xfId="1" applyFont="1" applyFill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7" fontId="0" fillId="0" borderId="1" xfId="0" applyNumberFormat="1" applyBorder="1">
      <alignment vertical="center"/>
    </xf>
    <xf numFmtId="0" fontId="14" fillId="2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14" fontId="14" fillId="0" borderId="1" xfId="0" applyNumberFormat="1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4" fillId="0" borderId="1" xfId="0" applyFont="1" applyFill="1" applyBorder="1" applyAlignment="1">
      <alignment horizontal="center" vertical="center"/>
    </xf>
    <xf numFmtId="41" fontId="15" fillId="0" borderId="1" xfId="1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6" fillId="2" borderId="1" xfId="0" applyFont="1" applyFill="1" applyBorder="1" applyAlignment="1">
      <alignment horizontal="center" vertical="center"/>
    </xf>
    <xf numFmtId="0" fontId="16" fillId="0" borderId="0" xfId="0" applyFont="1">
      <alignment vertical="center"/>
    </xf>
    <xf numFmtId="0" fontId="16" fillId="0" borderId="1" xfId="0" applyFont="1" applyBorder="1" applyAlignment="1">
      <alignment horizontal="center" vertical="center"/>
    </xf>
    <xf numFmtId="0" fontId="16" fillId="0" borderId="1" xfId="0" applyFont="1" applyFill="1" applyBorder="1" applyAlignment="1">
      <alignment horizontal="center" vertical="center"/>
    </xf>
    <xf numFmtId="41" fontId="17" fillId="0" borderId="1" xfId="1" applyFont="1" applyFill="1" applyBorder="1" applyAlignment="1">
      <alignment horizontal="center" vertical="center"/>
    </xf>
    <xf numFmtId="0" fontId="16" fillId="2" borderId="1" xfId="0" applyFont="1" applyFill="1" applyBorder="1">
      <alignment vertical="center"/>
    </xf>
    <xf numFmtId="0" fontId="16" fillId="0" borderId="1" xfId="0" applyFont="1" applyBorder="1">
      <alignment vertical="center"/>
    </xf>
    <xf numFmtId="0" fontId="0" fillId="0" borderId="0" xfId="0" applyFont="1">
      <alignment vertical="center"/>
    </xf>
    <xf numFmtId="0" fontId="14" fillId="0" borderId="1" xfId="0" applyFont="1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8" fillId="2" borderId="1" xfId="0" applyFont="1" applyFill="1" applyBorder="1" applyAlignment="1">
      <alignment horizontal="center" vertical="center"/>
    </xf>
    <xf numFmtId="0" fontId="18" fillId="0" borderId="0" xfId="0" applyFont="1">
      <alignment vertical="center"/>
    </xf>
    <xf numFmtId="0" fontId="18" fillId="0" borderId="1" xfId="0" applyFont="1" applyBorder="1">
      <alignment vertical="center"/>
    </xf>
    <xf numFmtId="14" fontId="18" fillId="0" borderId="1" xfId="0" applyNumberFormat="1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8" fillId="0" borderId="1" xfId="0" applyFont="1" applyFill="1" applyBorder="1" applyAlignment="1">
      <alignment horizontal="center" vertical="center"/>
    </xf>
    <xf numFmtId="41" fontId="19" fillId="0" borderId="1" xfId="1" applyFont="1" applyFill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41" fontId="0" fillId="0" borderId="1" xfId="0" applyNumberFormat="1" applyBorder="1" applyAlignment="1">
      <alignment vertical="center"/>
    </xf>
    <xf numFmtId="0" fontId="0" fillId="4" borderId="1" xfId="0" applyFill="1" applyBorder="1">
      <alignment vertical="center"/>
    </xf>
    <xf numFmtId="0" fontId="0" fillId="6" borderId="1" xfId="0" applyFill="1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 wrapText="1"/>
    </xf>
    <xf numFmtId="14" fontId="0" fillId="0" borderId="1" xfId="0" applyNumberFormat="1" applyFill="1" applyBorder="1" applyAlignment="1">
      <alignment horizontal="center" vertical="center"/>
    </xf>
    <xf numFmtId="0" fontId="0" fillId="0" borderId="1" xfId="0" applyNumberFormat="1" applyFill="1" applyBorder="1" applyAlignment="1">
      <alignment horizontal="center" vertical="center"/>
    </xf>
    <xf numFmtId="0" fontId="7" fillId="0" borderId="0" xfId="0" applyFont="1" applyFill="1" applyBorder="1" applyAlignment="1">
      <alignment vertical="center"/>
    </xf>
    <xf numFmtId="14" fontId="0" fillId="0" borderId="0" xfId="0" applyNumberFormat="1">
      <alignment vertical="center"/>
    </xf>
    <xf numFmtId="22" fontId="0" fillId="0" borderId="0" xfId="0" applyNumberFormat="1">
      <alignment vertical="center"/>
    </xf>
    <xf numFmtId="0" fontId="0" fillId="8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178" fontId="0" fillId="0" borderId="1" xfId="0" applyNumberFormat="1" applyBorder="1" applyAlignment="1">
      <alignment horizontal="center" vertical="center"/>
    </xf>
    <xf numFmtId="178" fontId="0" fillId="7" borderId="1" xfId="0" applyNumberFormat="1" applyFill="1" applyBorder="1" applyAlignment="1">
      <alignment horizontal="center" vertical="center"/>
    </xf>
    <xf numFmtId="180" fontId="0" fillId="0" borderId="1" xfId="0" applyNumberFormat="1" applyBorder="1">
      <alignment vertical="center"/>
    </xf>
    <xf numFmtId="9" fontId="0" fillId="0" borderId="1" xfId="2" applyFont="1" applyBorder="1" applyAlignment="1">
      <alignment horizontal="center" vertical="center"/>
    </xf>
    <xf numFmtId="22" fontId="0" fillId="0" borderId="1" xfId="0" applyNumberFormat="1" applyBorder="1" applyAlignment="1">
      <alignment horizontal="center" vertical="center"/>
    </xf>
    <xf numFmtId="181" fontId="0" fillId="0" borderId="0" xfId="0" applyNumberFormat="1">
      <alignment vertical="center"/>
    </xf>
    <xf numFmtId="0" fontId="0" fillId="0" borderId="1" xfId="0" applyNumberFormat="1" applyBorder="1" applyAlignment="1">
      <alignment horizontal="center" vertical="center"/>
    </xf>
    <xf numFmtId="182" fontId="0" fillId="0" borderId="1" xfId="0" applyNumberFormat="1" applyBorder="1">
      <alignment vertical="center"/>
    </xf>
    <xf numFmtId="178" fontId="0" fillId="0" borderId="0" xfId="0" applyNumberFormat="1">
      <alignment vertical="center"/>
    </xf>
    <xf numFmtId="0" fontId="21" fillId="2" borderId="1" xfId="0" applyFont="1" applyFill="1" applyBorder="1" applyAlignment="1">
      <alignment horizontal="center" vertical="center"/>
    </xf>
    <xf numFmtId="0" fontId="21" fillId="2" borderId="1" xfId="0" applyFont="1" applyFill="1" applyBorder="1" applyAlignment="1">
      <alignment horizontal="center" vertical="center" wrapText="1"/>
    </xf>
    <xf numFmtId="181" fontId="0" fillId="0" borderId="1" xfId="0" applyNumberFormat="1" applyBorder="1">
      <alignment vertical="center"/>
    </xf>
    <xf numFmtId="0" fontId="0" fillId="0" borderId="1" xfId="0" applyBorder="1" applyAlignment="1">
      <alignment horizontal="center" vertical="center"/>
    </xf>
    <xf numFmtId="14" fontId="0" fillId="9" borderId="1" xfId="0" applyNumberFormat="1" applyFill="1" applyBorder="1">
      <alignment vertical="center"/>
    </xf>
    <xf numFmtId="0" fontId="0" fillId="9" borderId="1" xfId="0" applyFill="1" applyBorder="1">
      <alignment vertical="center"/>
    </xf>
    <xf numFmtId="14" fontId="0" fillId="7" borderId="1" xfId="0" applyNumberFormat="1" applyFill="1" applyBorder="1">
      <alignment vertical="center"/>
    </xf>
    <xf numFmtId="0" fontId="0" fillId="7" borderId="1" xfId="0" applyFill="1" applyBorder="1">
      <alignment vertical="center"/>
    </xf>
    <xf numFmtId="14" fontId="0" fillId="0" borderId="1" xfId="0" applyNumberFormat="1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83" fontId="0" fillId="0" borderId="1" xfId="0" applyNumberFormat="1" applyBorder="1">
      <alignment vertical="center"/>
    </xf>
    <xf numFmtId="183" fontId="0" fillId="0" borderId="1" xfId="0" applyNumberFormat="1" applyBorder="1" applyAlignment="1">
      <alignment horizontal="center" vertical="center"/>
    </xf>
    <xf numFmtId="0" fontId="23" fillId="7" borderId="1" xfId="0" applyFont="1" applyFill="1" applyBorder="1" applyAlignment="1">
      <alignment horizontal="center" vertical="center"/>
    </xf>
    <xf numFmtId="0" fontId="25" fillId="0" borderId="1" xfId="0" applyFont="1" applyFill="1" applyBorder="1" applyAlignment="1">
      <alignment horizontal="center" vertical="center"/>
    </xf>
    <xf numFmtId="184" fontId="0" fillId="0" borderId="1" xfId="0" applyNumberFormat="1" applyBorder="1">
      <alignment vertical="center"/>
    </xf>
    <xf numFmtId="184" fontId="0" fillId="0" borderId="1" xfId="0" applyNumberFormat="1" applyBorder="1" applyAlignment="1">
      <alignment horizontal="center" vertical="center"/>
    </xf>
    <xf numFmtId="180" fontId="0" fillId="0" borderId="0" xfId="0" applyNumberFormat="1">
      <alignment vertical="center"/>
    </xf>
    <xf numFmtId="183" fontId="0" fillId="4" borderId="1" xfId="0" applyNumberFormat="1" applyFill="1" applyBorder="1">
      <alignment vertical="center"/>
    </xf>
    <xf numFmtId="183" fontId="0" fillId="0" borderId="0" xfId="0" applyNumberFormat="1" applyBorder="1" applyAlignment="1">
      <alignment horizontal="center" vertical="center"/>
    </xf>
    <xf numFmtId="183" fontId="0" fillId="9" borderId="1" xfId="0" applyNumberFormat="1" applyFill="1" applyBorder="1">
      <alignment vertical="center"/>
    </xf>
    <xf numFmtId="183" fontId="0" fillId="10" borderId="1" xfId="0" applyNumberFormat="1" applyFill="1" applyBorder="1">
      <alignment vertical="center"/>
    </xf>
    <xf numFmtId="183" fontId="0" fillId="0" borderId="0" xfId="0" applyNumberForma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86" fontId="0" fillId="9" borderId="1" xfId="0" applyNumberFormat="1" applyFill="1" applyBorder="1">
      <alignment vertical="center"/>
    </xf>
    <xf numFmtId="186" fontId="0" fillId="10" borderId="1" xfId="0" applyNumberFormat="1" applyFill="1" applyBorder="1">
      <alignment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20" fillId="0" borderId="0" xfId="0" applyFont="1" applyAlignment="1">
      <alignment vertical="center"/>
    </xf>
    <xf numFmtId="0" fontId="4" fillId="0" borderId="1" xfId="0" applyFont="1" applyBorder="1" applyAlignment="1">
      <alignment vertical="center"/>
    </xf>
    <xf numFmtId="42" fontId="0" fillId="0" borderId="1" xfId="3" applyFont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9" fontId="0" fillId="0" borderId="0" xfId="2" applyFo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1" xfId="1" applyNumberFormat="1" applyFont="1" applyBorder="1" applyAlignment="1">
      <alignment horizontal="center" vertical="center"/>
    </xf>
    <xf numFmtId="14" fontId="0" fillId="4" borderId="1" xfId="0" applyNumberFormat="1" applyFill="1" applyBorder="1" applyAlignment="1">
      <alignment horizontal="center" vertical="center"/>
    </xf>
    <xf numFmtId="42" fontId="0" fillId="4" borderId="1" xfId="3" applyFont="1" applyFill="1" applyBorder="1" applyAlignment="1">
      <alignment horizontal="center" vertical="center"/>
    </xf>
    <xf numFmtId="9" fontId="0" fillId="4" borderId="1" xfId="0" applyNumberFormat="1" applyFill="1" applyBorder="1" applyAlignment="1">
      <alignment horizontal="center" vertical="center"/>
    </xf>
    <xf numFmtId="41" fontId="0" fillId="4" borderId="1" xfId="1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1" fontId="0" fillId="2" borderId="1" xfId="1" applyFont="1" applyFill="1" applyBorder="1" applyAlignment="1">
      <alignment horizontal="center" vertical="center"/>
    </xf>
    <xf numFmtId="187" fontId="0" fillId="0" borderId="1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7" fillId="2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28" fillId="0" borderId="0" xfId="0" applyFont="1">
      <alignment vertical="center"/>
    </xf>
    <xf numFmtId="0" fontId="7" fillId="0" borderId="1" xfId="0" applyFont="1" applyBorder="1" applyAlignment="1">
      <alignment horizontal="center" vertical="center" wrapText="1"/>
    </xf>
    <xf numFmtId="20" fontId="0" fillId="0" borderId="0" xfId="0" applyNumberFormat="1">
      <alignment vertical="center"/>
    </xf>
    <xf numFmtId="0" fontId="0" fillId="5" borderId="1" xfId="0" applyFill="1" applyBorder="1" applyAlignment="1">
      <alignment horizontal="center" vertical="center" wrapText="1"/>
    </xf>
    <xf numFmtId="185" fontId="0" fillId="0" borderId="1" xfId="0" applyNumberFormat="1" applyBorder="1">
      <alignment vertical="center"/>
    </xf>
    <xf numFmtId="0" fontId="0" fillId="0" borderId="1" xfId="0" applyBorder="1" applyAlignment="1">
      <alignment horizontal="center" vertical="center"/>
    </xf>
    <xf numFmtId="0" fontId="29" fillId="0" borderId="1" xfId="0" applyFont="1" applyBorder="1" applyAlignment="1">
      <alignment horizontal="left" vertical="center"/>
    </xf>
    <xf numFmtId="0" fontId="0" fillId="2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0" borderId="0" xfId="0" applyFill="1">
      <alignment vertical="center"/>
    </xf>
    <xf numFmtId="0" fontId="0" fillId="11" borderId="4" xfId="0" applyFill="1" applyBorder="1">
      <alignment vertical="center"/>
    </xf>
    <xf numFmtId="0" fontId="0" fillId="11" borderId="5" xfId="0" applyFill="1" applyBorder="1">
      <alignment vertical="center"/>
    </xf>
    <xf numFmtId="0" fontId="0" fillId="11" borderId="6" xfId="0" applyFill="1" applyBorder="1">
      <alignment vertical="center"/>
    </xf>
    <xf numFmtId="0" fontId="0" fillId="11" borderId="2" xfId="0" applyFill="1" applyBorder="1">
      <alignment vertical="center"/>
    </xf>
    <xf numFmtId="0" fontId="4" fillId="11" borderId="0" xfId="0" applyFont="1" applyFill="1" applyBorder="1">
      <alignment vertical="center"/>
    </xf>
    <xf numFmtId="0" fontId="0" fillId="11" borderId="3" xfId="0" applyFill="1" applyBorder="1">
      <alignment vertical="center"/>
    </xf>
    <xf numFmtId="0" fontId="0" fillId="11" borderId="0" xfId="0" applyFill="1" applyBorder="1">
      <alignment vertical="center"/>
    </xf>
    <xf numFmtId="0" fontId="0" fillId="11" borderId="0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2" borderId="1" xfId="0" applyFill="1" applyBorder="1">
      <alignment vertical="center"/>
    </xf>
    <xf numFmtId="0" fontId="0" fillId="11" borderId="1" xfId="0" applyFill="1" applyBorder="1">
      <alignment vertical="center"/>
    </xf>
    <xf numFmtId="0" fontId="0" fillId="11" borderId="7" xfId="0" applyFill="1" applyBorder="1">
      <alignment vertical="center"/>
    </xf>
    <xf numFmtId="0" fontId="0" fillId="11" borderId="8" xfId="0" applyFill="1" applyBorder="1">
      <alignment vertical="center"/>
    </xf>
    <xf numFmtId="0" fontId="0" fillId="11" borderId="9" xfId="0" applyFill="1" applyBorder="1">
      <alignment vertical="center"/>
    </xf>
    <xf numFmtId="0" fontId="0" fillId="11" borderId="1" xfId="0" applyNumberFormat="1" applyFill="1" applyBorder="1">
      <alignment vertical="center"/>
    </xf>
    <xf numFmtId="189" fontId="0" fillId="4" borderId="1" xfId="0" applyNumberFormat="1" applyFill="1" applyBorder="1" applyAlignment="1">
      <alignment horizontal="center" vertical="center"/>
    </xf>
    <xf numFmtId="3" fontId="0" fillId="4" borderId="1" xfId="0" applyNumberFormat="1" applyFill="1" applyBorder="1" applyAlignment="1">
      <alignment horizontal="center" vertical="center"/>
    </xf>
    <xf numFmtId="0" fontId="0" fillId="11" borderId="1" xfId="0" applyNumberFormat="1" applyFill="1" applyBorder="1" applyAlignment="1">
      <alignment horizontal="center" vertical="center"/>
    </xf>
    <xf numFmtId="188" fontId="0" fillId="11" borderId="1" xfId="0" applyNumberFormat="1" applyFill="1" applyBorder="1">
      <alignment vertical="center"/>
    </xf>
    <xf numFmtId="0" fontId="0" fillId="11" borderId="0" xfId="0" applyFill="1" applyBorder="1" applyAlignment="1">
      <alignment vertical="center"/>
    </xf>
    <xf numFmtId="0" fontId="0" fillId="11" borderId="8" xfId="0" quotePrefix="1" applyFill="1" applyBorder="1">
      <alignment vertical="center"/>
    </xf>
    <xf numFmtId="0" fontId="0" fillId="2" borderId="1" xfId="0" applyFill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0" fillId="0" borderId="14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3" borderId="1" xfId="0" applyFill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 wrapText="1"/>
    </xf>
    <xf numFmtId="179" fontId="22" fillId="0" borderId="5" xfId="0" applyNumberFormat="1" applyFont="1" applyBorder="1" applyAlignment="1">
      <alignment horizontal="center" vertical="center"/>
    </xf>
    <xf numFmtId="179" fontId="22" fillId="0" borderId="22" xfId="0" applyNumberFormat="1" applyFont="1" applyBorder="1" applyAlignment="1">
      <alignment horizontal="center" vertical="center"/>
    </xf>
    <xf numFmtId="0" fontId="22" fillId="0" borderId="5" xfId="0" applyFont="1" applyBorder="1" applyAlignment="1">
      <alignment horizontal="center" vertical="center"/>
    </xf>
    <xf numFmtId="0" fontId="22" fillId="0" borderId="22" xfId="0" applyFon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25" fillId="0" borderId="1" xfId="0" applyNumberFormat="1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0" fillId="2" borderId="15" xfId="0" applyFill="1" applyBorder="1" applyAlignment="1">
      <alignment horizontal="center" vertical="center"/>
    </xf>
    <xf numFmtId="185" fontId="0" fillId="0" borderId="14" xfId="0" applyNumberFormat="1" applyBorder="1" applyAlignment="1">
      <alignment horizontal="center" vertical="center"/>
    </xf>
    <xf numFmtId="185" fontId="0" fillId="0" borderId="16" xfId="0" applyNumberForma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185" fontId="0" fillId="0" borderId="15" xfId="0" applyNumberFormat="1" applyBorder="1" applyAlignment="1">
      <alignment horizontal="center" vertical="center"/>
    </xf>
    <xf numFmtId="185" fontId="0" fillId="0" borderId="18" xfId="0" applyNumberFormat="1" applyBorder="1" applyAlignment="1">
      <alignment horizontal="center" vertical="center"/>
    </xf>
    <xf numFmtId="185" fontId="0" fillId="0" borderId="1" xfId="0" applyNumberFormat="1" applyBorder="1" applyAlignment="1">
      <alignment horizontal="center" vertical="center"/>
    </xf>
    <xf numFmtId="185" fontId="0" fillId="0" borderId="17" xfId="0" applyNumberFormat="1" applyBorder="1" applyAlignment="1">
      <alignment horizontal="center" vertical="center"/>
    </xf>
    <xf numFmtId="0" fontId="0" fillId="0" borderId="15" xfId="0" applyNumberFormat="1" applyBorder="1" applyAlignment="1">
      <alignment horizontal="center" vertical="center"/>
    </xf>
    <xf numFmtId="0" fontId="0" fillId="0" borderId="18" xfId="0" applyNumberForma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0" fillId="0" borderId="1" xfId="0" applyFill="1" applyBorder="1" applyAlignment="1">
      <alignment vertical="center"/>
    </xf>
    <xf numFmtId="0" fontId="11" fillId="0" borderId="0" xfId="0" applyFont="1" applyAlignment="1">
      <alignment horizontal="center" vertical="center"/>
    </xf>
    <xf numFmtId="0" fontId="0" fillId="0" borderId="1" xfId="0" applyBorder="1" applyAlignment="1">
      <alignment vertical="center"/>
    </xf>
    <xf numFmtId="0" fontId="5" fillId="0" borderId="19" xfId="0" applyFont="1" applyBorder="1" applyAlignment="1">
      <alignment horizontal="center" vertical="center"/>
    </xf>
    <xf numFmtId="0" fontId="5" fillId="0" borderId="21" xfId="0" applyFont="1" applyBorder="1" applyAlignment="1">
      <alignment horizontal="center" vertical="center"/>
    </xf>
    <xf numFmtId="0" fontId="0" fillId="2" borderId="19" xfId="0" applyFill="1" applyBorder="1" applyAlignment="1">
      <alignment horizontal="center" vertical="center"/>
    </xf>
    <xf numFmtId="0" fontId="0" fillId="2" borderId="20" xfId="0" applyFill="1" applyBorder="1" applyAlignment="1">
      <alignment horizontal="center" vertical="center"/>
    </xf>
    <xf numFmtId="0" fontId="0" fillId="2" borderId="21" xfId="0" applyFill="1" applyBorder="1" applyAlignment="1">
      <alignment horizontal="center" vertical="center"/>
    </xf>
  </cellXfs>
  <cellStyles count="4">
    <cellStyle name="백분율" xfId="2" builtinId="5"/>
    <cellStyle name="쉼표 [0]" xfId="1" builtinId="6"/>
    <cellStyle name="통화 [0]" xfId="3" builtinId="7"/>
    <cellStyle name="표준" xfId="0" builtinId="0"/>
  </cellStyles>
  <dxfs count="4">
    <dxf>
      <fill>
        <patternFill>
          <bgColor rgb="FFFFFF00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4" Type="http://schemas.openxmlformats.org/officeDocument/2006/relationships/image" Target="../media/image8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1.png"/><Relationship Id="rId1" Type="http://schemas.openxmlformats.org/officeDocument/2006/relationships/image" Target="../media/image20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emf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emf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emf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em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em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em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em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4.emf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5.em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6.em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2</xdr:col>
      <xdr:colOff>0</xdr:colOff>
      <xdr:row>2</xdr:row>
      <xdr:rowOff>0</xdr:rowOff>
    </xdr:to>
    <xdr:sp macro="[0]!시트이동_SUM" textlink="">
      <xdr:nvSpPr>
        <xdr:cNvPr id="2" name="직사각형 1">
          <a:extLst>
            <a:ext uri="{FF2B5EF4-FFF2-40B4-BE49-F238E27FC236}">
              <a16:creationId xmlns:a16="http://schemas.microsoft.com/office/drawing/2014/main" id="{AFDD87DF-F3BC-49E4-A376-8C04546CA327}"/>
            </a:ext>
          </a:extLst>
        </xdr:cNvPr>
        <xdr:cNvSpPr/>
      </xdr:nvSpPr>
      <xdr:spPr>
        <a:xfrm>
          <a:off x="171450" y="209550"/>
          <a:ext cx="1352550" cy="314325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altLang="ko-KR" sz="1100">
              <a:solidFill>
                <a:schemeClr val="tx1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SUM</a:t>
          </a:r>
          <a:endParaRPr lang="ko-KR" altLang="en-US" sz="1100">
            <a:solidFill>
              <a:schemeClr val="tx1"/>
            </a:solidFill>
            <a:latin typeface="맑은 고딕" panose="020B0503020000020004" pitchFamily="50" charset="-127"/>
            <a:ea typeface="맑은 고딕" panose="020B0503020000020004" pitchFamily="50" charset="-127"/>
          </a:endParaRPr>
        </a:p>
      </xdr:txBody>
    </xdr:sp>
    <xdr:clientData/>
  </xdr:twoCellAnchor>
  <xdr:twoCellAnchor>
    <xdr:from>
      <xdr:col>1</xdr:col>
      <xdr:colOff>0</xdr:colOff>
      <xdr:row>3</xdr:row>
      <xdr:rowOff>0</xdr:rowOff>
    </xdr:from>
    <xdr:to>
      <xdr:col>2</xdr:col>
      <xdr:colOff>0</xdr:colOff>
      <xdr:row>4</xdr:row>
      <xdr:rowOff>0</xdr:rowOff>
    </xdr:to>
    <xdr:sp macro="[0]!시트이동_AVERAGE" textlink="">
      <xdr:nvSpPr>
        <xdr:cNvPr id="3" name="직사각형 2">
          <a:extLst>
            <a:ext uri="{FF2B5EF4-FFF2-40B4-BE49-F238E27FC236}">
              <a16:creationId xmlns:a16="http://schemas.microsoft.com/office/drawing/2014/main" id="{22822D2B-DC70-4A9B-8816-8A6CF256D17D}"/>
            </a:ext>
          </a:extLst>
        </xdr:cNvPr>
        <xdr:cNvSpPr/>
      </xdr:nvSpPr>
      <xdr:spPr>
        <a:xfrm>
          <a:off x="171450" y="600075"/>
          <a:ext cx="1905000" cy="314325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altLang="ko-KR" sz="1100">
              <a:solidFill>
                <a:schemeClr val="tx1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AVERAGE</a:t>
          </a:r>
          <a:endParaRPr lang="ko-KR" altLang="en-US" sz="1100">
            <a:solidFill>
              <a:schemeClr val="tx1"/>
            </a:solidFill>
            <a:latin typeface="맑은 고딕" panose="020B0503020000020004" pitchFamily="50" charset="-127"/>
            <a:ea typeface="맑은 고딕" panose="020B0503020000020004" pitchFamily="50" charset="-127"/>
          </a:endParaRPr>
        </a:p>
      </xdr:txBody>
    </xdr:sp>
    <xdr:clientData/>
  </xdr:twoCellAnchor>
  <xdr:twoCellAnchor>
    <xdr:from>
      <xdr:col>1</xdr:col>
      <xdr:colOff>0</xdr:colOff>
      <xdr:row>5</xdr:row>
      <xdr:rowOff>0</xdr:rowOff>
    </xdr:from>
    <xdr:to>
      <xdr:col>2</xdr:col>
      <xdr:colOff>0</xdr:colOff>
      <xdr:row>6</xdr:row>
      <xdr:rowOff>0</xdr:rowOff>
    </xdr:to>
    <xdr:sp macro="[0]!시트이동_AND외" textlink="">
      <xdr:nvSpPr>
        <xdr:cNvPr id="4" name="직사각형 3">
          <a:extLst>
            <a:ext uri="{FF2B5EF4-FFF2-40B4-BE49-F238E27FC236}">
              <a16:creationId xmlns:a16="http://schemas.microsoft.com/office/drawing/2014/main" id="{7D5550DD-D39E-4649-8A63-9B8803B817A7}"/>
            </a:ext>
          </a:extLst>
        </xdr:cNvPr>
        <xdr:cNvSpPr/>
      </xdr:nvSpPr>
      <xdr:spPr>
        <a:xfrm>
          <a:off x="171450" y="990600"/>
          <a:ext cx="1905000" cy="314325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altLang="ko-KR" sz="1100">
              <a:solidFill>
                <a:schemeClr val="tx1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AND,OR</a:t>
          </a:r>
          <a:endParaRPr lang="ko-KR" altLang="en-US" sz="1100">
            <a:solidFill>
              <a:schemeClr val="tx1"/>
            </a:solidFill>
            <a:latin typeface="맑은 고딕" panose="020B0503020000020004" pitchFamily="50" charset="-127"/>
            <a:ea typeface="맑은 고딕" panose="020B0503020000020004" pitchFamily="50" charset="-127"/>
          </a:endParaRPr>
        </a:p>
      </xdr:txBody>
    </xdr:sp>
    <xdr:clientData/>
  </xdr:twoCellAnchor>
  <xdr:twoCellAnchor>
    <xdr:from>
      <xdr:col>1</xdr:col>
      <xdr:colOff>0</xdr:colOff>
      <xdr:row>7</xdr:row>
      <xdr:rowOff>0</xdr:rowOff>
    </xdr:from>
    <xdr:to>
      <xdr:col>2</xdr:col>
      <xdr:colOff>0</xdr:colOff>
      <xdr:row>8</xdr:row>
      <xdr:rowOff>0</xdr:rowOff>
    </xdr:to>
    <xdr:sp macro="[0]!시트이동_MID외" textlink="">
      <xdr:nvSpPr>
        <xdr:cNvPr id="5" name="직사각형 4">
          <a:extLst>
            <a:ext uri="{FF2B5EF4-FFF2-40B4-BE49-F238E27FC236}">
              <a16:creationId xmlns:a16="http://schemas.microsoft.com/office/drawing/2014/main" id="{F48FE758-7423-4909-838C-AB9E698ADC43}"/>
            </a:ext>
          </a:extLst>
        </xdr:cNvPr>
        <xdr:cNvSpPr/>
      </xdr:nvSpPr>
      <xdr:spPr>
        <a:xfrm>
          <a:off x="171450" y="1381125"/>
          <a:ext cx="1905000" cy="314325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altLang="ko-KR" sz="1100">
              <a:solidFill>
                <a:schemeClr val="tx1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MID,LEFT,RIGHT</a:t>
          </a:r>
          <a:endParaRPr lang="ko-KR" altLang="en-US" sz="1100">
            <a:solidFill>
              <a:schemeClr val="tx1"/>
            </a:solidFill>
            <a:latin typeface="맑은 고딕" panose="020B0503020000020004" pitchFamily="50" charset="-127"/>
            <a:ea typeface="맑은 고딕" panose="020B0503020000020004" pitchFamily="50" charset="-127"/>
          </a:endParaRPr>
        </a:p>
      </xdr:txBody>
    </xdr:sp>
    <xdr:clientData/>
  </xdr:twoCellAnchor>
  <xdr:twoCellAnchor>
    <xdr:from>
      <xdr:col>1</xdr:col>
      <xdr:colOff>0</xdr:colOff>
      <xdr:row>9</xdr:row>
      <xdr:rowOff>0</xdr:rowOff>
    </xdr:from>
    <xdr:to>
      <xdr:col>2</xdr:col>
      <xdr:colOff>0</xdr:colOff>
      <xdr:row>10</xdr:row>
      <xdr:rowOff>0</xdr:rowOff>
    </xdr:to>
    <xdr:sp macro="[0]!시트이동_RANK" textlink="">
      <xdr:nvSpPr>
        <xdr:cNvPr id="6" name="직사각형 5">
          <a:extLst>
            <a:ext uri="{FF2B5EF4-FFF2-40B4-BE49-F238E27FC236}">
              <a16:creationId xmlns:a16="http://schemas.microsoft.com/office/drawing/2014/main" id="{31C31601-CE4E-40EA-91E1-DA0F0315022E}"/>
            </a:ext>
          </a:extLst>
        </xdr:cNvPr>
        <xdr:cNvSpPr/>
      </xdr:nvSpPr>
      <xdr:spPr>
        <a:xfrm>
          <a:off x="171450" y="1771650"/>
          <a:ext cx="1905000" cy="314325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altLang="ko-KR" sz="1100">
              <a:solidFill>
                <a:schemeClr val="tx1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RANK</a:t>
          </a:r>
          <a:endParaRPr lang="ko-KR" altLang="en-US" sz="1100">
            <a:solidFill>
              <a:schemeClr val="tx1"/>
            </a:solidFill>
            <a:latin typeface="맑은 고딕" panose="020B0503020000020004" pitchFamily="50" charset="-127"/>
            <a:ea typeface="맑은 고딕" panose="020B0503020000020004" pitchFamily="50" charset="-127"/>
          </a:endParaRPr>
        </a:p>
      </xdr:txBody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0</xdr:colOff>
      <xdr:row>12</xdr:row>
      <xdr:rowOff>0</xdr:rowOff>
    </xdr:to>
    <xdr:sp macro="[0]!시트이동_IF" textlink="">
      <xdr:nvSpPr>
        <xdr:cNvPr id="7" name="직사각형 6">
          <a:extLst>
            <a:ext uri="{FF2B5EF4-FFF2-40B4-BE49-F238E27FC236}">
              <a16:creationId xmlns:a16="http://schemas.microsoft.com/office/drawing/2014/main" id="{6F9EFE82-0454-4512-B412-CB638FA23029}"/>
            </a:ext>
          </a:extLst>
        </xdr:cNvPr>
        <xdr:cNvSpPr/>
      </xdr:nvSpPr>
      <xdr:spPr>
        <a:xfrm>
          <a:off x="171450" y="2162175"/>
          <a:ext cx="1905000" cy="314325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altLang="ko-KR" sz="1100">
              <a:solidFill>
                <a:schemeClr val="tx1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IF</a:t>
          </a:r>
          <a:endParaRPr lang="ko-KR" altLang="en-US" sz="1100">
            <a:solidFill>
              <a:schemeClr val="tx1"/>
            </a:solidFill>
            <a:latin typeface="맑은 고딕" panose="020B0503020000020004" pitchFamily="50" charset="-127"/>
            <a:ea typeface="맑은 고딕" panose="020B0503020000020004" pitchFamily="50" charset="-127"/>
          </a:endParaRPr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0</xdr:colOff>
      <xdr:row>14</xdr:row>
      <xdr:rowOff>0</xdr:rowOff>
    </xdr:to>
    <xdr:sp macro="[0]!시트이동_ROUND" textlink="">
      <xdr:nvSpPr>
        <xdr:cNvPr id="8" name="직사각형 7">
          <a:extLst>
            <a:ext uri="{FF2B5EF4-FFF2-40B4-BE49-F238E27FC236}">
              <a16:creationId xmlns:a16="http://schemas.microsoft.com/office/drawing/2014/main" id="{ABB83242-C845-4606-8EBC-DC96725DFE52}"/>
            </a:ext>
          </a:extLst>
        </xdr:cNvPr>
        <xdr:cNvSpPr/>
      </xdr:nvSpPr>
      <xdr:spPr>
        <a:xfrm>
          <a:off x="171450" y="2552700"/>
          <a:ext cx="1905000" cy="314325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altLang="ko-KR" sz="1100">
              <a:solidFill>
                <a:schemeClr val="tx1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ROUND</a:t>
          </a:r>
          <a:endParaRPr lang="ko-KR" altLang="en-US" sz="1100">
            <a:solidFill>
              <a:schemeClr val="tx1"/>
            </a:solidFill>
            <a:latin typeface="맑은 고딕" panose="020B0503020000020004" pitchFamily="50" charset="-127"/>
            <a:ea typeface="맑은 고딕" panose="020B0503020000020004" pitchFamily="50" charset="-127"/>
          </a:endParaRPr>
        </a:p>
      </xdr:txBody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0</xdr:colOff>
      <xdr:row>16</xdr:row>
      <xdr:rowOff>0</xdr:rowOff>
    </xdr:to>
    <xdr:sp macro="[0]!시트이동_TRUNC" textlink="">
      <xdr:nvSpPr>
        <xdr:cNvPr id="9" name="직사각형 8">
          <a:extLst>
            <a:ext uri="{FF2B5EF4-FFF2-40B4-BE49-F238E27FC236}">
              <a16:creationId xmlns:a16="http://schemas.microsoft.com/office/drawing/2014/main" id="{C1EEF952-0940-4918-B0C9-76B314D751E2}"/>
            </a:ext>
          </a:extLst>
        </xdr:cNvPr>
        <xdr:cNvSpPr/>
      </xdr:nvSpPr>
      <xdr:spPr>
        <a:xfrm>
          <a:off x="171450" y="2943225"/>
          <a:ext cx="1905000" cy="314325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altLang="ko-KR" sz="1100">
              <a:solidFill>
                <a:schemeClr val="tx1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TRUNC</a:t>
          </a:r>
          <a:endParaRPr lang="ko-KR" altLang="en-US" sz="1100">
            <a:solidFill>
              <a:schemeClr val="tx1"/>
            </a:solidFill>
            <a:latin typeface="맑은 고딕" panose="020B0503020000020004" pitchFamily="50" charset="-127"/>
            <a:ea typeface="맑은 고딕" panose="020B0503020000020004" pitchFamily="50" charset="-127"/>
          </a:endParaRPr>
        </a:p>
      </xdr:txBody>
    </xdr:sp>
    <xdr:clientData/>
  </xdr:twoCellAnchor>
  <xdr:twoCellAnchor>
    <xdr:from>
      <xdr:col>1</xdr:col>
      <xdr:colOff>0</xdr:colOff>
      <xdr:row>17</xdr:row>
      <xdr:rowOff>0</xdr:rowOff>
    </xdr:from>
    <xdr:to>
      <xdr:col>2</xdr:col>
      <xdr:colOff>0</xdr:colOff>
      <xdr:row>18</xdr:row>
      <xdr:rowOff>0</xdr:rowOff>
    </xdr:to>
    <xdr:sp macro="[0]!시트이동_INT" textlink="">
      <xdr:nvSpPr>
        <xdr:cNvPr id="10" name="직사각형 9">
          <a:extLst>
            <a:ext uri="{FF2B5EF4-FFF2-40B4-BE49-F238E27FC236}">
              <a16:creationId xmlns:a16="http://schemas.microsoft.com/office/drawing/2014/main" id="{BE56036F-988F-4465-8668-B97598D76DB1}"/>
            </a:ext>
          </a:extLst>
        </xdr:cNvPr>
        <xdr:cNvSpPr/>
      </xdr:nvSpPr>
      <xdr:spPr>
        <a:xfrm>
          <a:off x="171450" y="3333750"/>
          <a:ext cx="1905000" cy="314325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altLang="ko-KR" sz="1100">
              <a:solidFill>
                <a:schemeClr val="tx1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INT</a:t>
          </a:r>
          <a:endParaRPr lang="ko-KR" altLang="en-US" sz="1100">
            <a:solidFill>
              <a:schemeClr val="tx1"/>
            </a:solidFill>
            <a:latin typeface="맑은 고딕" panose="020B0503020000020004" pitchFamily="50" charset="-127"/>
            <a:ea typeface="맑은 고딕" panose="020B0503020000020004" pitchFamily="50" charset="-127"/>
          </a:endParaRPr>
        </a:p>
      </xdr:txBody>
    </xdr:sp>
    <xdr:clientData/>
  </xdr:twoCellAnchor>
  <xdr:twoCellAnchor>
    <xdr:from>
      <xdr:col>1</xdr:col>
      <xdr:colOff>0</xdr:colOff>
      <xdr:row>19</xdr:row>
      <xdr:rowOff>0</xdr:rowOff>
    </xdr:from>
    <xdr:to>
      <xdr:col>2</xdr:col>
      <xdr:colOff>0</xdr:colOff>
      <xdr:row>20</xdr:row>
      <xdr:rowOff>0</xdr:rowOff>
    </xdr:to>
    <xdr:sp macro="[0]!시트이동_ROUND비교" textlink="">
      <xdr:nvSpPr>
        <xdr:cNvPr id="11" name="직사각형 10">
          <a:extLst>
            <a:ext uri="{FF2B5EF4-FFF2-40B4-BE49-F238E27FC236}">
              <a16:creationId xmlns:a16="http://schemas.microsoft.com/office/drawing/2014/main" id="{1C10623E-36A4-4267-8FE7-397491644806}"/>
            </a:ext>
          </a:extLst>
        </xdr:cNvPr>
        <xdr:cNvSpPr/>
      </xdr:nvSpPr>
      <xdr:spPr>
        <a:xfrm>
          <a:off x="171450" y="3724275"/>
          <a:ext cx="1905000" cy="314325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altLang="ko-KR" sz="1100">
              <a:solidFill>
                <a:schemeClr val="tx1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ROUND,TRUNC,INT </a:t>
          </a:r>
          <a:r>
            <a:rPr lang="ko-KR" altLang="en-US" sz="1100">
              <a:solidFill>
                <a:schemeClr val="tx1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비교</a:t>
          </a:r>
        </a:p>
      </xdr:txBody>
    </xdr:sp>
    <xdr:clientData/>
  </xdr:twoCellAnchor>
  <xdr:twoCellAnchor>
    <xdr:from>
      <xdr:col>1</xdr:col>
      <xdr:colOff>0</xdr:colOff>
      <xdr:row>21</xdr:row>
      <xdr:rowOff>9525</xdr:rowOff>
    </xdr:from>
    <xdr:to>
      <xdr:col>2</xdr:col>
      <xdr:colOff>0</xdr:colOff>
      <xdr:row>22</xdr:row>
      <xdr:rowOff>9525</xdr:rowOff>
    </xdr:to>
    <xdr:sp macro="[0]!시트이동_MAX외" textlink="">
      <xdr:nvSpPr>
        <xdr:cNvPr id="12" name="직사각형 11">
          <a:extLst>
            <a:ext uri="{FF2B5EF4-FFF2-40B4-BE49-F238E27FC236}">
              <a16:creationId xmlns:a16="http://schemas.microsoft.com/office/drawing/2014/main" id="{1A5DDD6A-1451-4DAE-913A-6575CDED1B28}"/>
            </a:ext>
          </a:extLst>
        </xdr:cNvPr>
        <xdr:cNvSpPr/>
      </xdr:nvSpPr>
      <xdr:spPr>
        <a:xfrm>
          <a:off x="171450" y="4124325"/>
          <a:ext cx="1905000" cy="314325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altLang="ko-KR" sz="1100">
              <a:solidFill>
                <a:schemeClr val="tx1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MAX,MIN,LARGE,SMALL</a:t>
          </a:r>
          <a:endParaRPr lang="ko-KR" altLang="en-US" sz="1100">
            <a:solidFill>
              <a:schemeClr val="tx1"/>
            </a:solidFill>
            <a:latin typeface="맑은 고딕" panose="020B0503020000020004" pitchFamily="50" charset="-127"/>
            <a:ea typeface="맑은 고딕" panose="020B0503020000020004" pitchFamily="50" charset="-127"/>
          </a:endParaRPr>
        </a:p>
      </xdr:txBody>
    </xdr:sp>
    <xdr:clientData/>
  </xdr:twoCellAnchor>
  <xdr:twoCellAnchor>
    <xdr:from>
      <xdr:col>1</xdr:col>
      <xdr:colOff>0</xdr:colOff>
      <xdr:row>23</xdr:row>
      <xdr:rowOff>0</xdr:rowOff>
    </xdr:from>
    <xdr:to>
      <xdr:col>2</xdr:col>
      <xdr:colOff>0</xdr:colOff>
      <xdr:row>24</xdr:row>
      <xdr:rowOff>0</xdr:rowOff>
    </xdr:to>
    <xdr:sp macro="[0]!시트이동_COUNT계열" textlink="">
      <xdr:nvSpPr>
        <xdr:cNvPr id="13" name="직사각형 12">
          <a:extLst>
            <a:ext uri="{FF2B5EF4-FFF2-40B4-BE49-F238E27FC236}">
              <a16:creationId xmlns:a16="http://schemas.microsoft.com/office/drawing/2014/main" id="{3A334228-35B7-4DBD-B20C-D9EB0EA724B1}"/>
            </a:ext>
          </a:extLst>
        </xdr:cNvPr>
        <xdr:cNvSpPr/>
      </xdr:nvSpPr>
      <xdr:spPr>
        <a:xfrm>
          <a:off x="171450" y="4505325"/>
          <a:ext cx="1905000" cy="314325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altLang="ko-KR" sz="1050">
              <a:solidFill>
                <a:schemeClr val="tx1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COUNT</a:t>
          </a:r>
          <a:r>
            <a:rPr lang="ko-KR" altLang="en-US" sz="1050">
              <a:solidFill>
                <a:schemeClr val="tx1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계열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시트이동_DB함수_DSUM" textlink="">
      <xdr:nvSpPr>
        <xdr:cNvPr id="15" name="직사각형 14">
          <a:extLst>
            <a:ext uri="{FF2B5EF4-FFF2-40B4-BE49-F238E27FC236}">
              <a16:creationId xmlns:a16="http://schemas.microsoft.com/office/drawing/2014/main" id="{958407E4-E9B7-4740-A850-95129F58E92E}"/>
            </a:ext>
          </a:extLst>
        </xdr:cNvPr>
        <xdr:cNvSpPr/>
      </xdr:nvSpPr>
      <xdr:spPr>
        <a:xfrm>
          <a:off x="2219325" y="600075"/>
          <a:ext cx="1905000" cy="314325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altLang="ko-KR" sz="1100">
              <a:solidFill>
                <a:schemeClr val="tx1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DB</a:t>
          </a:r>
          <a:r>
            <a:rPr lang="ko-KR" altLang="en-US" sz="1100">
              <a:solidFill>
                <a:schemeClr val="tx1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함수</a:t>
          </a:r>
          <a:r>
            <a:rPr lang="en-US" altLang="ko-KR" sz="1100">
              <a:solidFill>
                <a:schemeClr val="tx1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_DSUM,DAVERAGE</a:t>
          </a:r>
          <a:endParaRPr lang="ko-KR" altLang="en-US" sz="1100">
            <a:solidFill>
              <a:schemeClr val="tx1"/>
            </a:solidFill>
            <a:latin typeface="맑은 고딕" panose="020B0503020000020004" pitchFamily="50" charset="-127"/>
            <a:ea typeface="맑은 고딕" panose="020B0503020000020004" pitchFamily="50" charset="-127"/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4</xdr:col>
      <xdr:colOff>0</xdr:colOff>
      <xdr:row>6</xdr:row>
      <xdr:rowOff>0</xdr:rowOff>
    </xdr:to>
    <xdr:sp macro="[0]!시트이동_DB함수_DCOUNT외" textlink="">
      <xdr:nvSpPr>
        <xdr:cNvPr id="16" name="직사각형 15">
          <a:extLst>
            <a:ext uri="{FF2B5EF4-FFF2-40B4-BE49-F238E27FC236}">
              <a16:creationId xmlns:a16="http://schemas.microsoft.com/office/drawing/2014/main" id="{6A5CC19C-9825-4AEF-A370-FF48C6455581}"/>
            </a:ext>
          </a:extLst>
        </xdr:cNvPr>
        <xdr:cNvSpPr/>
      </xdr:nvSpPr>
      <xdr:spPr>
        <a:xfrm>
          <a:off x="2219325" y="990600"/>
          <a:ext cx="1905000" cy="314325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altLang="ko-KR" sz="1100">
              <a:solidFill>
                <a:schemeClr val="tx1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DB</a:t>
          </a:r>
          <a:r>
            <a:rPr lang="ko-KR" altLang="en-US" sz="1100">
              <a:solidFill>
                <a:schemeClr val="tx1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함수</a:t>
          </a:r>
          <a:r>
            <a:rPr lang="en-US" altLang="ko-KR" sz="1100">
              <a:solidFill>
                <a:schemeClr val="tx1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_DCOUNT,DCOUNTA</a:t>
          </a:r>
          <a:endParaRPr lang="ko-KR" altLang="en-US" sz="1100">
            <a:solidFill>
              <a:schemeClr val="tx1"/>
            </a:solidFill>
            <a:latin typeface="맑은 고딕" panose="020B0503020000020004" pitchFamily="50" charset="-127"/>
            <a:ea typeface="맑은 고딕" panose="020B0503020000020004" pitchFamily="50" charset="-127"/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4</xdr:col>
      <xdr:colOff>0</xdr:colOff>
      <xdr:row>8</xdr:row>
      <xdr:rowOff>0</xdr:rowOff>
    </xdr:to>
    <xdr:sp macro="[0]!시트이동_SUMIF와DSUM의차이" textlink="">
      <xdr:nvSpPr>
        <xdr:cNvPr id="17" name="직사각형 16">
          <a:extLst>
            <a:ext uri="{FF2B5EF4-FFF2-40B4-BE49-F238E27FC236}">
              <a16:creationId xmlns:a16="http://schemas.microsoft.com/office/drawing/2014/main" id="{66F91854-533C-479C-904E-1D7C4216F6E1}"/>
            </a:ext>
          </a:extLst>
        </xdr:cNvPr>
        <xdr:cNvSpPr/>
      </xdr:nvSpPr>
      <xdr:spPr>
        <a:xfrm>
          <a:off x="2219325" y="1381125"/>
          <a:ext cx="1905000" cy="314325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altLang="ko-KR" sz="1100">
              <a:solidFill>
                <a:schemeClr val="tx1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SUMIF</a:t>
          </a:r>
          <a:r>
            <a:rPr lang="ko-KR" altLang="en-US" sz="1100">
              <a:solidFill>
                <a:schemeClr val="tx1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와 </a:t>
          </a:r>
          <a:r>
            <a:rPr lang="en-US" altLang="ko-KR" sz="1100">
              <a:solidFill>
                <a:schemeClr val="tx1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DSUM</a:t>
          </a:r>
          <a:r>
            <a:rPr lang="ko-KR" altLang="en-US" sz="1100">
              <a:solidFill>
                <a:schemeClr val="tx1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의 차이</a:t>
          </a:r>
        </a:p>
      </xdr:txBody>
    </xdr:sp>
    <xdr:clientData/>
  </xdr:twoCellAnchor>
  <xdr:twoCellAnchor>
    <xdr:from>
      <xdr:col>3</xdr:col>
      <xdr:colOff>0</xdr:colOff>
      <xdr:row>9</xdr:row>
      <xdr:rowOff>0</xdr:rowOff>
    </xdr:from>
    <xdr:to>
      <xdr:col>4</xdr:col>
      <xdr:colOff>0</xdr:colOff>
      <xdr:row>10</xdr:row>
      <xdr:rowOff>0</xdr:rowOff>
    </xdr:to>
    <xdr:sp macro="[0]!시트이동_SUMPRODUCT" textlink="">
      <xdr:nvSpPr>
        <xdr:cNvPr id="18" name="직사각형 17">
          <a:extLst>
            <a:ext uri="{FF2B5EF4-FFF2-40B4-BE49-F238E27FC236}">
              <a16:creationId xmlns:a16="http://schemas.microsoft.com/office/drawing/2014/main" id="{2D0BA894-9B5E-4214-9522-635353AB021F}"/>
            </a:ext>
          </a:extLst>
        </xdr:cNvPr>
        <xdr:cNvSpPr/>
      </xdr:nvSpPr>
      <xdr:spPr>
        <a:xfrm>
          <a:off x="2219325" y="1771650"/>
          <a:ext cx="1905000" cy="314325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altLang="ko-KR" sz="1100">
              <a:solidFill>
                <a:schemeClr val="tx1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SUMPRODUCT</a:t>
          </a:r>
          <a:endParaRPr lang="ko-KR" altLang="en-US" sz="1100">
            <a:solidFill>
              <a:schemeClr val="tx1"/>
            </a:solidFill>
            <a:latin typeface="맑은 고딕" panose="020B0503020000020004" pitchFamily="50" charset="-127"/>
            <a:ea typeface="맑은 고딕" panose="020B0503020000020004" pitchFamily="50" charset="-127"/>
          </a:endParaRPr>
        </a:p>
      </xdr:txBody>
    </xdr:sp>
    <xdr:clientData/>
  </xdr:twoCellAnchor>
  <xdr:twoCellAnchor>
    <xdr:from>
      <xdr:col>3</xdr:col>
      <xdr:colOff>0</xdr:colOff>
      <xdr:row>11</xdr:row>
      <xdr:rowOff>0</xdr:rowOff>
    </xdr:from>
    <xdr:to>
      <xdr:col>4</xdr:col>
      <xdr:colOff>0</xdr:colOff>
      <xdr:row>12</xdr:row>
      <xdr:rowOff>0</xdr:rowOff>
    </xdr:to>
    <xdr:sp macro="[0]!시트이동_날짜_기초" textlink="">
      <xdr:nvSpPr>
        <xdr:cNvPr id="19" name="직사각형 18">
          <a:extLst>
            <a:ext uri="{FF2B5EF4-FFF2-40B4-BE49-F238E27FC236}">
              <a16:creationId xmlns:a16="http://schemas.microsoft.com/office/drawing/2014/main" id="{319FB9CC-04B7-4DAC-9A7F-174ECEAD8980}"/>
            </a:ext>
          </a:extLst>
        </xdr:cNvPr>
        <xdr:cNvSpPr/>
      </xdr:nvSpPr>
      <xdr:spPr>
        <a:xfrm>
          <a:off x="2219325" y="2162175"/>
          <a:ext cx="1905000" cy="314325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ko-KR" altLang="en-US" sz="1100">
              <a:solidFill>
                <a:schemeClr val="tx1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날짜</a:t>
          </a:r>
          <a:r>
            <a:rPr lang="en-US" altLang="ko-KR" sz="1100">
              <a:solidFill>
                <a:schemeClr val="tx1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_</a:t>
          </a:r>
          <a:r>
            <a:rPr lang="ko-KR" altLang="en-US" sz="1100">
              <a:solidFill>
                <a:schemeClr val="tx1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기초</a:t>
          </a:r>
        </a:p>
      </xdr:txBody>
    </xdr:sp>
    <xdr:clientData/>
  </xdr:twoCellAnchor>
  <xdr:twoCellAnchor>
    <xdr:from>
      <xdr:col>3</xdr:col>
      <xdr:colOff>0</xdr:colOff>
      <xdr:row>13</xdr:row>
      <xdr:rowOff>0</xdr:rowOff>
    </xdr:from>
    <xdr:to>
      <xdr:col>4</xdr:col>
      <xdr:colOff>0</xdr:colOff>
      <xdr:row>14</xdr:row>
      <xdr:rowOff>0</xdr:rowOff>
    </xdr:to>
    <xdr:sp macro="[0]!시트이동_날짜_기초2" textlink="">
      <xdr:nvSpPr>
        <xdr:cNvPr id="20" name="직사각형 19">
          <a:extLst>
            <a:ext uri="{FF2B5EF4-FFF2-40B4-BE49-F238E27FC236}">
              <a16:creationId xmlns:a16="http://schemas.microsoft.com/office/drawing/2014/main" id="{07D73017-0CAC-4B40-B7BD-23561A773044}"/>
            </a:ext>
          </a:extLst>
        </xdr:cNvPr>
        <xdr:cNvSpPr/>
      </xdr:nvSpPr>
      <xdr:spPr>
        <a:xfrm>
          <a:off x="2219325" y="2552700"/>
          <a:ext cx="1905000" cy="314325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ko-KR" altLang="en-US" sz="1100">
              <a:solidFill>
                <a:schemeClr val="tx1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날짜</a:t>
          </a:r>
          <a:r>
            <a:rPr lang="en-US" altLang="ko-KR" sz="1100">
              <a:solidFill>
                <a:schemeClr val="tx1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_</a:t>
          </a:r>
          <a:r>
            <a:rPr lang="ko-KR" altLang="en-US" sz="1100">
              <a:solidFill>
                <a:schemeClr val="tx1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기초</a:t>
          </a:r>
          <a:r>
            <a:rPr lang="en-US" altLang="ko-KR" sz="1100">
              <a:solidFill>
                <a:schemeClr val="tx1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2</a:t>
          </a:r>
          <a:endParaRPr lang="ko-KR" altLang="en-US" sz="1100">
            <a:solidFill>
              <a:schemeClr val="tx1"/>
            </a:solidFill>
            <a:latin typeface="맑은 고딕" panose="020B0503020000020004" pitchFamily="50" charset="-127"/>
            <a:ea typeface="맑은 고딕" panose="020B0503020000020004" pitchFamily="50" charset="-127"/>
          </a:endParaRPr>
        </a:p>
      </xdr:txBody>
    </xdr:sp>
    <xdr:clientData/>
  </xdr:twoCellAnchor>
  <xdr:twoCellAnchor>
    <xdr:from>
      <xdr:col>3</xdr:col>
      <xdr:colOff>0</xdr:colOff>
      <xdr:row>15</xdr:row>
      <xdr:rowOff>0</xdr:rowOff>
    </xdr:from>
    <xdr:to>
      <xdr:col>4</xdr:col>
      <xdr:colOff>0</xdr:colOff>
      <xdr:row>16</xdr:row>
      <xdr:rowOff>0</xdr:rowOff>
    </xdr:to>
    <xdr:sp macro="[0]!시트이동_날짜_WEEKDAY" textlink="">
      <xdr:nvSpPr>
        <xdr:cNvPr id="21" name="직사각형 20">
          <a:extLst>
            <a:ext uri="{FF2B5EF4-FFF2-40B4-BE49-F238E27FC236}">
              <a16:creationId xmlns:a16="http://schemas.microsoft.com/office/drawing/2014/main" id="{09C6E315-1F9E-4AE4-B871-DEA651E2321E}"/>
            </a:ext>
          </a:extLst>
        </xdr:cNvPr>
        <xdr:cNvSpPr/>
      </xdr:nvSpPr>
      <xdr:spPr>
        <a:xfrm>
          <a:off x="2219325" y="2943225"/>
          <a:ext cx="1905000" cy="314325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ko-KR" altLang="en-US" sz="1100">
              <a:solidFill>
                <a:schemeClr val="tx1"/>
              </a:solidFill>
              <a:latin typeface="맑은 고딕" panose="020B0503020000020004" pitchFamily="50" charset="-127"/>
              <a:ea typeface="+mn-ea"/>
            </a:rPr>
            <a:t>날짜</a:t>
          </a:r>
          <a:r>
            <a:rPr lang="en-US" altLang="ko-KR" sz="1100">
              <a:solidFill>
                <a:schemeClr val="tx1"/>
              </a:solidFill>
              <a:latin typeface="맑은 고딕" panose="020B0503020000020004" pitchFamily="50" charset="-127"/>
              <a:ea typeface="+mn-ea"/>
            </a:rPr>
            <a:t>_WEEKDAY</a:t>
          </a:r>
          <a:endParaRPr lang="ko-KR" altLang="en-US" sz="1100">
            <a:solidFill>
              <a:schemeClr val="tx1"/>
            </a:solidFill>
            <a:latin typeface="맑은 고딕" panose="020B0503020000020004" pitchFamily="50" charset="-127"/>
            <a:ea typeface="맑은 고딕" panose="020B0503020000020004" pitchFamily="50" charset="-127"/>
          </a:endParaRPr>
        </a:p>
      </xdr:txBody>
    </xdr:sp>
    <xdr:clientData/>
  </xdr:twoCellAnchor>
  <xdr:twoCellAnchor>
    <xdr:from>
      <xdr:col>3</xdr:col>
      <xdr:colOff>0</xdr:colOff>
      <xdr:row>23</xdr:row>
      <xdr:rowOff>0</xdr:rowOff>
    </xdr:from>
    <xdr:to>
      <xdr:col>4</xdr:col>
      <xdr:colOff>0</xdr:colOff>
      <xdr:row>24</xdr:row>
      <xdr:rowOff>0</xdr:rowOff>
    </xdr:to>
    <xdr:sp macro="[0]!시트이동_날짜_NETWORKDAYS" textlink="">
      <xdr:nvSpPr>
        <xdr:cNvPr id="22" name="직사각형 21">
          <a:extLst>
            <a:ext uri="{FF2B5EF4-FFF2-40B4-BE49-F238E27FC236}">
              <a16:creationId xmlns:a16="http://schemas.microsoft.com/office/drawing/2014/main" id="{32B3D81F-37AE-4F2B-A220-77B6C07E1EC8}"/>
            </a:ext>
          </a:extLst>
        </xdr:cNvPr>
        <xdr:cNvSpPr/>
      </xdr:nvSpPr>
      <xdr:spPr>
        <a:xfrm>
          <a:off x="2219325" y="4505325"/>
          <a:ext cx="1905000" cy="314325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ko-KR" altLang="en-US" sz="1100">
              <a:solidFill>
                <a:schemeClr val="tx1"/>
              </a:solidFill>
              <a:latin typeface="맑은 고딕" panose="020B0503020000020004" pitchFamily="50" charset="-127"/>
              <a:ea typeface="+mn-ea"/>
            </a:rPr>
            <a:t>날짜</a:t>
          </a:r>
          <a:r>
            <a:rPr lang="en-US" altLang="ko-KR" sz="1100">
              <a:solidFill>
                <a:schemeClr val="tx1"/>
              </a:solidFill>
              <a:latin typeface="맑은 고딕" panose="020B0503020000020004" pitchFamily="50" charset="-127"/>
              <a:ea typeface="+mn-ea"/>
            </a:rPr>
            <a:t>_NETWORKDAYS</a:t>
          </a:r>
          <a:endParaRPr lang="ko-KR" altLang="en-US" sz="1100">
            <a:solidFill>
              <a:schemeClr val="tx1"/>
            </a:solidFill>
            <a:latin typeface="맑은 고딕" panose="020B0503020000020004" pitchFamily="50" charset="-127"/>
            <a:ea typeface="맑은 고딕" panose="020B0503020000020004" pitchFamily="50" charset="-127"/>
          </a:endParaRPr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[0]!시트이동_VALUE" textlink="">
      <xdr:nvSpPr>
        <xdr:cNvPr id="23" name="직사각형 22">
          <a:extLst>
            <a:ext uri="{FF2B5EF4-FFF2-40B4-BE49-F238E27FC236}">
              <a16:creationId xmlns:a16="http://schemas.microsoft.com/office/drawing/2014/main" id="{914B35A3-ABB1-4B4C-B368-AC39236082FB}"/>
            </a:ext>
          </a:extLst>
        </xdr:cNvPr>
        <xdr:cNvSpPr/>
      </xdr:nvSpPr>
      <xdr:spPr>
        <a:xfrm>
          <a:off x="4267200" y="600075"/>
          <a:ext cx="1905000" cy="314325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altLang="ko-KR" sz="1100">
              <a:solidFill>
                <a:schemeClr val="tx1"/>
              </a:solidFill>
              <a:latin typeface="맑은 고딕" panose="020B0503020000020004" pitchFamily="50" charset="-127"/>
              <a:ea typeface="+mn-ea"/>
            </a:rPr>
            <a:t>VALUE</a:t>
          </a:r>
          <a:endParaRPr lang="ko-KR" altLang="en-US" sz="1100">
            <a:solidFill>
              <a:schemeClr val="tx1"/>
            </a:solidFill>
            <a:latin typeface="맑은 고딕" panose="020B0503020000020004" pitchFamily="50" charset="-127"/>
            <a:ea typeface="맑은 고딕" panose="020B0503020000020004" pitchFamily="50" charset="-127"/>
          </a:endParaRPr>
        </a:p>
      </xdr:txBody>
    </xdr:sp>
    <xdr:clientData/>
  </xdr:twoCellAnchor>
  <xdr:twoCellAnchor>
    <xdr:from>
      <xdr:col>5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[0]!시트이동_INDEX" textlink="">
      <xdr:nvSpPr>
        <xdr:cNvPr id="24" name="직사각형 23">
          <a:extLst>
            <a:ext uri="{FF2B5EF4-FFF2-40B4-BE49-F238E27FC236}">
              <a16:creationId xmlns:a16="http://schemas.microsoft.com/office/drawing/2014/main" id="{7C0B4630-A498-4AEF-8869-802CF816DA32}"/>
            </a:ext>
          </a:extLst>
        </xdr:cNvPr>
        <xdr:cNvSpPr/>
      </xdr:nvSpPr>
      <xdr:spPr>
        <a:xfrm>
          <a:off x="4267200" y="990600"/>
          <a:ext cx="1905000" cy="314325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altLang="ko-KR" sz="1100">
              <a:solidFill>
                <a:schemeClr val="tx1"/>
              </a:solidFill>
              <a:latin typeface="맑은 고딕" panose="020B0503020000020004" pitchFamily="50" charset="-127"/>
              <a:ea typeface="+mn-ea"/>
            </a:rPr>
            <a:t>INDEX</a:t>
          </a:r>
          <a:endParaRPr lang="ko-KR" altLang="en-US" sz="1100">
            <a:solidFill>
              <a:schemeClr val="tx1"/>
            </a:solidFill>
            <a:latin typeface="맑은 고딕" panose="020B0503020000020004" pitchFamily="50" charset="-127"/>
            <a:ea typeface="맑은 고딕" panose="020B0503020000020004" pitchFamily="50" charset="-127"/>
          </a:endParaRPr>
        </a:p>
      </xdr:txBody>
    </xdr:sp>
    <xdr:clientData/>
  </xdr:twoCellAnchor>
  <xdr:twoCellAnchor>
    <xdr:from>
      <xdr:col>5</xdr:col>
      <xdr:colOff>0</xdr:colOff>
      <xdr:row>7</xdr:row>
      <xdr:rowOff>0</xdr:rowOff>
    </xdr:from>
    <xdr:to>
      <xdr:col>6</xdr:col>
      <xdr:colOff>0</xdr:colOff>
      <xdr:row>8</xdr:row>
      <xdr:rowOff>0</xdr:rowOff>
    </xdr:to>
    <xdr:sp macro="[0]!시트이동_MATCH" textlink="">
      <xdr:nvSpPr>
        <xdr:cNvPr id="25" name="직사각형 24">
          <a:extLst>
            <a:ext uri="{FF2B5EF4-FFF2-40B4-BE49-F238E27FC236}">
              <a16:creationId xmlns:a16="http://schemas.microsoft.com/office/drawing/2014/main" id="{9F848055-82DF-4451-8909-3BA0ECCCA0A8}"/>
            </a:ext>
          </a:extLst>
        </xdr:cNvPr>
        <xdr:cNvSpPr/>
      </xdr:nvSpPr>
      <xdr:spPr>
        <a:xfrm>
          <a:off x="4267200" y="1381125"/>
          <a:ext cx="1905000" cy="314325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altLang="ko-KR" sz="1100">
              <a:solidFill>
                <a:schemeClr val="tx1"/>
              </a:solidFill>
              <a:latin typeface="맑은 고딕" panose="020B0503020000020004" pitchFamily="50" charset="-127"/>
              <a:ea typeface="+mn-ea"/>
            </a:rPr>
            <a:t>MATCH</a:t>
          </a:r>
          <a:endParaRPr lang="ko-KR" altLang="en-US" sz="1100">
            <a:solidFill>
              <a:schemeClr val="tx1"/>
            </a:solidFill>
            <a:latin typeface="맑은 고딕" panose="020B0503020000020004" pitchFamily="50" charset="-127"/>
            <a:ea typeface="맑은 고딕" panose="020B0503020000020004" pitchFamily="50" charset="-127"/>
          </a:endParaRPr>
        </a:p>
      </xdr:txBody>
    </xdr:sp>
    <xdr:clientData/>
  </xdr:twoCellAnchor>
  <xdr:twoCellAnchor>
    <xdr:from>
      <xdr:col>5</xdr:col>
      <xdr:colOff>0</xdr:colOff>
      <xdr:row>9</xdr:row>
      <xdr:rowOff>0</xdr:rowOff>
    </xdr:from>
    <xdr:to>
      <xdr:col>6</xdr:col>
      <xdr:colOff>0</xdr:colOff>
      <xdr:row>10</xdr:row>
      <xdr:rowOff>0</xdr:rowOff>
    </xdr:to>
    <xdr:sp macro="[0]!시트이동_LOOKUP" textlink="">
      <xdr:nvSpPr>
        <xdr:cNvPr id="26" name="직사각형 25">
          <a:extLst>
            <a:ext uri="{FF2B5EF4-FFF2-40B4-BE49-F238E27FC236}">
              <a16:creationId xmlns:a16="http://schemas.microsoft.com/office/drawing/2014/main" id="{A573F1BA-CD57-4D0D-BDE3-2C6B76D6F7F7}"/>
            </a:ext>
          </a:extLst>
        </xdr:cNvPr>
        <xdr:cNvSpPr/>
      </xdr:nvSpPr>
      <xdr:spPr>
        <a:xfrm>
          <a:off x="4267200" y="1771650"/>
          <a:ext cx="1905000" cy="314325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altLang="ko-KR" sz="1100">
              <a:solidFill>
                <a:schemeClr val="tx1"/>
              </a:solidFill>
              <a:latin typeface="맑은 고딕" panose="020B0503020000020004" pitchFamily="50" charset="-127"/>
              <a:ea typeface="+mn-ea"/>
            </a:rPr>
            <a:t>LOOKUP</a:t>
          </a:r>
          <a:endParaRPr lang="ko-KR" altLang="en-US" sz="1100">
            <a:solidFill>
              <a:schemeClr val="tx1"/>
            </a:solidFill>
            <a:latin typeface="맑은 고딕" panose="020B0503020000020004" pitchFamily="50" charset="-127"/>
            <a:ea typeface="맑은 고딕" panose="020B0503020000020004" pitchFamily="50" charset="-127"/>
          </a:endParaRPr>
        </a:p>
      </xdr:txBody>
    </xdr:sp>
    <xdr:clientData/>
  </xdr:twoCellAnchor>
  <xdr:twoCellAnchor>
    <xdr:from>
      <xdr:col>5</xdr:col>
      <xdr:colOff>0</xdr:colOff>
      <xdr:row>11</xdr:row>
      <xdr:rowOff>0</xdr:rowOff>
    </xdr:from>
    <xdr:to>
      <xdr:col>6</xdr:col>
      <xdr:colOff>0</xdr:colOff>
      <xdr:row>12</xdr:row>
      <xdr:rowOff>0</xdr:rowOff>
    </xdr:to>
    <xdr:sp macro="[0]!시트이동_MOD" textlink="">
      <xdr:nvSpPr>
        <xdr:cNvPr id="27" name="직사각형 26">
          <a:extLst>
            <a:ext uri="{FF2B5EF4-FFF2-40B4-BE49-F238E27FC236}">
              <a16:creationId xmlns:a16="http://schemas.microsoft.com/office/drawing/2014/main" id="{E3D4DBA9-C027-4A05-B047-FF71AAA60726}"/>
            </a:ext>
          </a:extLst>
        </xdr:cNvPr>
        <xdr:cNvSpPr/>
      </xdr:nvSpPr>
      <xdr:spPr>
        <a:xfrm>
          <a:off x="4267200" y="2162175"/>
          <a:ext cx="1905000" cy="314325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altLang="ko-KR" sz="1100">
              <a:solidFill>
                <a:schemeClr val="tx1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MOD</a:t>
          </a:r>
          <a:endParaRPr lang="ko-KR" altLang="en-US" sz="1100">
            <a:solidFill>
              <a:schemeClr val="tx1"/>
            </a:solidFill>
            <a:latin typeface="맑은 고딕" panose="020B0503020000020004" pitchFamily="50" charset="-127"/>
            <a:ea typeface="맑은 고딕" panose="020B0503020000020004" pitchFamily="50" charset="-127"/>
          </a:endParaRPr>
        </a:p>
      </xdr:txBody>
    </xdr:sp>
    <xdr:clientData/>
  </xdr:twoCellAnchor>
  <xdr:twoCellAnchor>
    <xdr:from>
      <xdr:col>5</xdr:col>
      <xdr:colOff>0</xdr:colOff>
      <xdr:row>13</xdr:row>
      <xdr:rowOff>0</xdr:rowOff>
    </xdr:from>
    <xdr:to>
      <xdr:col>6</xdr:col>
      <xdr:colOff>0</xdr:colOff>
      <xdr:row>14</xdr:row>
      <xdr:rowOff>0</xdr:rowOff>
    </xdr:to>
    <xdr:sp macro="[0]!시트이동_CHOOSE" textlink="">
      <xdr:nvSpPr>
        <xdr:cNvPr id="28" name="직사각형 27">
          <a:extLst>
            <a:ext uri="{FF2B5EF4-FFF2-40B4-BE49-F238E27FC236}">
              <a16:creationId xmlns:a16="http://schemas.microsoft.com/office/drawing/2014/main" id="{A3A4AC27-1F33-4352-A8FF-AEB0C9DCB94A}"/>
            </a:ext>
          </a:extLst>
        </xdr:cNvPr>
        <xdr:cNvSpPr/>
      </xdr:nvSpPr>
      <xdr:spPr>
        <a:xfrm>
          <a:off x="4267200" y="2552700"/>
          <a:ext cx="1905000" cy="314325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altLang="ko-KR" sz="1100">
              <a:solidFill>
                <a:schemeClr val="tx1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CHOOSE</a:t>
          </a:r>
          <a:endParaRPr lang="ko-KR" altLang="en-US" sz="1100">
            <a:solidFill>
              <a:schemeClr val="tx1"/>
            </a:solidFill>
            <a:latin typeface="맑은 고딕" panose="020B0503020000020004" pitchFamily="50" charset="-127"/>
            <a:ea typeface="맑은 고딕" panose="020B0503020000020004" pitchFamily="50" charset="-127"/>
          </a:endParaRPr>
        </a:p>
      </xdr:txBody>
    </xdr:sp>
    <xdr:clientData/>
  </xdr:twoCellAnchor>
  <xdr:twoCellAnchor>
    <xdr:from>
      <xdr:col>5</xdr:col>
      <xdr:colOff>0</xdr:colOff>
      <xdr:row>17</xdr:row>
      <xdr:rowOff>0</xdr:rowOff>
    </xdr:from>
    <xdr:to>
      <xdr:col>6</xdr:col>
      <xdr:colOff>0</xdr:colOff>
      <xdr:row>18</xdr:row>
      <xdr:rowOff>0</xdr:rowOff>
    </xdr:to>
    <xdr:sp macro="[0]!시트이동_REPT" textlink="">
      <xdr:nvSpPr>
        <xdr:cNvPr id="29" name="직사각형 28">
          <a:extLst>
            <a:ext uri="{FF2B5EF4-FFF2-40B4-BE49-F238E27FC236}">
              <a16:creationId xmlns:a16="http://schemas.microsoft.com/office/drawing/2014/main" id="{8D2DA2DC-EB83-40F4-B792-4AB3B846A814}"/>
            </a:ext>
          </a:extLst>
        </xdr:cNvPr>
        <xdr:cNvSpPr/>
      </xdr:nvSpPr>
      <xdr:spPr>
        <a:xfrm>
          <a:off x="4267200" y="3333750"/>
          <a:ext cx="1905000" cy="314325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altLang="ko-KR" sz="1100">
              <a:solidFill>
                <a:schemeClr val="tx1"/>
              </a:solidFill>
              <a:latin typeface="맑은 고딕" panose="020B0503020000020004" pitchFamily="50" charset="-127"/>
              <a:ea typeface="+mn-ea"/>
            </a:rPr>
            <a:t>REPT</a:t>
          </a:r>
          <a:endParaRPr lang="ko-KR" altLang="en-US" sz="1100">
            <a:solidFill>
              <a:schemeClr val="tx1"/>
            </a:solidFill>
            <a:latin typeface="맑은 고딕" panose="020B0503020000020004" pitchFamily="50" charset="-127"/>
            <a:ea typeface="맑은 고딕" panose="020B0503020000020004" pitchFamily="50" charset="-127"/>
          </a:endParaRPr>
        </a:p>
      </xdr:txBody>
    </xdr:sp>
    <xdr:clientData/>
  </xdr:twoCellAnchor>
  <xdr:twoCellAnchor>
    <xdr:from>
      <xdr:col>5</xdr:col>
      <xdr:colOff>0</xdr:colOff>
      <xdr:row>19</xdr:row>
      <xdr:rowOff>0</xdr:rowOff>
    </xdr:from>
    <xdr:to>
      <xdr:col>6</xdr:col>
      <xdr:colOff>0</xdr:colOff>
      <xdr:row>20</xdr:row>
      <xdr:rowOff>0</xdr:rowOff>
    </xdr:to>
    <xdr:sp macro="[0]!시트이동_ROW_COLUMN" textlink="">
      <xdr:nvSpPr>
        <xdr:cNvPr id="30" name="직사각형 29">
          <a:extLst>
            <a:ext uri="{FF2B5EF4-FFF2-40B4-BE49-F238E27FC236}">
              <a16:creationId xmlns:a16="http://schemas.microsoft.com/office/drawing/2014/main" id="{EB00B52E-165E-4E41-926E-392FA9A852D6}"/>
            </a:ext>
          </a:extLst>
        </xdr:cNvPr>
        <xdr:cNvSpPr/>
      </xdr:nvSpPr>
      <xdr:spPr>
        <a:xfrm>
          <a:off x="4267200" y="3724275"/>
          <a:ext cx="1905000" cy="314325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altLang="ko-KR" sz="1100">
              <a:solidFill>
                <a:schemeClr val="tx1"/>
              </a:solidFill>
              <a:latin typeface="맑은 고딕" panose="020B0503020000020004" pitchFamily="50" charset="-127"/>
              <a:ea typeface="+mn-ea"/>
            </a:rPr>
            <a:t>ROW&amp;COLUMN</a:t>
          </a:r>
          <a:endParaRPr lang="ko-KR" altLang="en-US" sz="1100">
            <a:solidFill>
              <a:schemeClr val="tx1"/>
            </a:solidFill>
            <a:latin typeface="맑은 고딕" panose="020B0503020000020004" pitchFamily="50" charset="-127"/>
            <a:ea typeface="맑은 고딕" panose="020B0503020000020004" pitchFamily="50" charset="-127"/>
          </a:endParaRPr>
        </a:p>
      </xdr:txBody>
    </xdr:sp>
    <xdr:clientData/>
  </xdr:twoCellAnchor>
  <xdr:twoCellAnchor>
    <xdr:from>
      <xdr:col>5</xdr:col>
      <xdr:colOff>0</xdr:colOff>
      <xdr:row>21</xdr:row>
      <xdr:rowOff>0</xdr:rowOff>
    </xdr:from>
    <xdr:to>
      <xdr:col>6</xdr:col>
      <xdr:colOff>0</xdr:colOff>
      <xdr:row>22</xdr:row>
      <xdr:rowOff>0</xdr:rowOff>
    </xdr:to>
    <xdr:sp macro="[0]!시트이동_ROWS_COLUMNS" textlink="">
      <xdr:nvSpPr>
        <xdr:cNvPr id="31" name="직사각형 30">
          <a:extLst>
            <a:ext uri="{FF2B5EF4-FFF2-40B4-BE49-F238E27FC236}">
              <a16:creationId xmlns:a16="http://schemas.microsoft.com/office/drawing/2014/main" id="{E4802E68-798B-4C30-8D5A-EF61B06560CA}"/>
            </a:ext>
          </a:extLst>
        </xdr:cNvPr>
        <xdr:cNvSpPr/>
      </xdr:nvSpPr>
      <xdr:spPr>
        <a:xfrm>
          <a:off x="4267200" y="4114800"/>
          <a:ext cx="1905000" cy="314325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altLang="ko-KR" sz="1100">
              <a:solidFill>
                <a:schemeClr val="tx1"/>
              </a:solidFill>
              <a:latin typeface="맑은 고딕" panose="020B0503020000020004" pitchFamily="50" charset="-127"/>
              <a:ea typeface="+mn-ea"/>
            </a:rPr>
            <a:t>ROWS&amp;COLUMNS</a:t>
          </a:r>
          <a:endParaRPr lang="ko-KR" altLang="en-US" sz="1100">
            <a:solidFill>
              <a:schemeClr val="tx1"/>
            </a:solidFill>
            <a:latin typeface="맑은 고딕" panose="020B0503020000020004" pitchFamily="50" charset="-127"/>
            <a:ea typeface="맑은 고딕" panose="020B0503020000020004" pitchFamily="50" charset="-127"/>
          </a:endParaRPr>
        </a:p>
      </xdr:txBody>
    </xdr:sp>
    <xdr:clientData/>
  </xdr:twoCellAnchor>
  <xdr:twoCellAnchor>
    <xdr:from>
      <xdr:col>5</xdr:col>
      <xdr:colOff>0</xdr:colOff>
      <xdr:row>23</xdr:row>
      <xdr:rowOff>0</xdr:rowOff>
    </xdr:from>
    <xdr:to>
      <xdr:col>6</xdr:col>
      <xdr:colOff>0</xdr:colOff>
      <xdr:row>24</xdr:row>
      <xdr:rowOff>0</xdr:rowOff>
    </xdr:to>
    <xdr:sp macro="[0]!시트이동_FIND_SEARCH" textlink="">
      <xdr:nvSpPr>
        <xdr:cNvPr id="32" name="직사각형 31">
          <a:extLst>
            <a:ext uri="{FF2B5EF4-FFF2-40B4-BE49-F238E27FC236}">
              <a16:creationId xmlns:a16="http://schemas.microsoft.com/office/drawing/2014/main" id="{8C932FF0-06B5-4965-A7F3-B1AF04044A6E}"/>
            </a:ext>
          </a:extLst>
        </xdr:cNvPr>
        <xdr:cNvSpPr/>
      </xdr:nvSpPr>
      <xdr:spPr>
        <a:xfrm>
          <a:off x="4267200" y="4505325"/>
          <a:ext cx="1905000" cy="314325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altLang="ko-KR" sz="1100">
              <a:solidFill>
                <a:schemeClr val="tx1"/>
              </a:solidFill>
              <a:latin typeface="맑은 고딕" panose="020B0503020000020004" pitchFamily="50" charset="-127"/>
              <a:ea typeface="+mn-ea"/>
            </a:rPr>
            <a:t>FIND&amp;SEARCH</a:t>
          </a:r>
          <a:endParaRPr lang="ko-KR" altLang="en-US" sz="1100">
            <a:solidFill>
              <a:schemeClr val="tx1"/>
            </a:solidFill>
            <a:latin typeface="맑은 고딕" panose="020B0503020000020004" pitchFamily="50" charset="-127"/>
            <a:ea typeface="맑은 고딕" panose="020B0503020000020004" pitchFamily="50" charset="-127"/>
          </a:endParaRPr>
        </a:p>
      </xdr:txBody>
    </xdr:sp>
    <xdr:clientData/>
  </xdr:twoCellAnchor>
  <xdr:twoCellAnchor>
    <xdr:from>
      <xdr:col>5</xdr:col>
      <xdr:colOff>0</xdr:colOff>
      <xdr:row>25</xdr:row>
      <xdr:rowOff>0</xdr:rowOff>
    </xdr:from>
    <xdr:to>
      <xdr:col>6</xdr:col>
      <xdr:colOff>0</xdr:colOff>
      <xdr:row>26</xdr:row>
      <xdr:rowOff>0</xdr:rowOff>
    </xdr:to>
    <xdr:sp macro="[0]!시트이동_TEXT" textlink="">
      <xdr:nvSpPr>
        <xdr:cNvPr id="33" name="직사각형 32">
          <a:extLst>
            <a:ext uri="{FF2B5EF4-FFF2-40B4-BE49-F238E27FC236}">
              <a16:creationId xmlns:a16="http://schemas.microsoft.com/office/drawing/2014/main" id="{C93207DE-8219-4412-A9F8-33C13C84A68A}"/>
            </a:ext>
          </a:extLst>
        </xdr:cNvPr>
        <xdr:cNvSpPr/>
      </xdr:nvSpPr>
      <xdr:spPr>
        <a:xfrm>
          <a:off x="4267200" y="4895850"/>
          <a:ext cx="1905000" cy="314325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altLang="ko-KR" sz="1100">
              <a:solidFill>
                <a:schemeClr val="tx1"/>
              </a:solidFill>
              <a:latin typeface="맑은 고딕" panose="020B0503020000020004" pitchFamily="50" charset="-127"/>
              <a:ea typeface="+mn-ea"/>
            </a:rPr>
            <a:t>TEXT</a:t>
          </a:r>
          <a:endParaRPr lang="ko-KR" altLang="en-US" sz="1100">
            <a:solidFill>
              <a:schemeClr val="tx1"/>
            </a:solidFill>
            <a:latin typeface="맑은 고딕" panose="020B0503020000020004" pitchFamily="50" charset="-127"/>
            <a:ea typeface="맑은 고딕" panose="020B0503020000020004" pitchFamily="50" charset="-127"/>
          </a:endParaRPr>
        </a:p>
      </xdr:txBody>
    </xdr:sp>
    <xdr:clientData/>
  </xdr:twoCellAnchor>
  <xdr:twoCellAnchor>
    <xdr:from>
      <xdr:col>3</xdr:col>
      <xdr:colOff>0</xdr:colOff>
      <xdr:row>17</xdr:row>
      <xdr:rowOff>0</xdr:rowOff>
    </xdr:from>
    <xdr:to>
      <xdr:col>4</xdr:col>
      <xdr:colOff>0</xdr:colOff>
      <xdr:row>18</xdr:row>
      <xdr:rowOff>0</xdr:rowOff>
    </xdr:to>
    <xdr:sp macro="[0]!시트이동_날짜_EOMONTH" textlink="">
      <xdr:nvSpPr>
        <xdr:cNvPr id="34" name="직사각형 33">
          <a:extLst>
            <a:ext uri="{FF2B5EF4-FFF2-40B4-BE49-F238E27FC236}">
              <a16:creationId xmlns:a16="http://schemas.microsoft.com/office/drawing/2014/main" id="{36E1C56F-B5F5-4FE8-8424-FA33BBCE6D97}"/>
            </a:ext>
          </a:extLst>
        </xdr:cNvPr>
        <xdr:cNvSpPr/>
      </xdr:nvSpPr>
      <xdr:spPr>
        <a:xfrm>
          <a:off x="2219325" y="3333750"/>
          <a:ext cx="1905000" cy="314325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ko-KR" altLang="en-US" sz="1100">
              <a:solidFill>
                <a:schemeClr val="tx1"/>
              </a:solidFill>
              <a:latin typeface="맑은 고딕" panose="020B0503020000020004" pitchFamily="50" charset="-127"/>
              <a:ea typeface="+mn-ea"/>
            </a:rPr>
            <a:t>날짜</a:t>
          </a:r>
          <a:r>
            <a:rPr lang="en-US" altLang="ko-KR" sz="1100">
              <a:solidFill>
                <a:schemeClr val="tx1"/>
              </a:solidFill>
              <a:latin typeface="맑은 고딕" panose="020B0503020000020004" pitchFamily="50" charset="-127"/>
              <a:ea typeface="+mn-ea"/>
            </a:rPr>
            <a:t>_EOMONTH</a:t>
          </a:r>
          <a:endParaRPr lang="ko-KR" altLang="en-US" sz="1100">
            <a:solidFill>
              <a:schemeClr val="tx1"/>
            </a:solidFill>
            <a:latin typeface="맑은 고딕" panose="020B0503020000020004" pitchFamily="50" charset="-127"/>
            <a:ea typeface="맑은 고딕" panose="020B0503020000020004" pitchFamily="50" charset="-127"/>
          </a:endParaRPr>
        </a:p>
      </xdr:txBody>
    </xdr:sp>
    <xdr:clientData/>
  </xdr:twoCellAnchor>
  <xdr:twoCellAnchor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sp macro="[0]!시트이동_날짜_DATEDIF" textlink="">
      <xdr:nvSpPr>
        <xdr:cNvPr id="35" name="직사각형 34">
          <a:extLst>
            <a:ext uri="{FF2B5EF4-FFF2-40B4-BE49-F238E27FC236}">
              <a16:creationId xmlns:a16="http://schemas.microsoft.com/office/drawing/2014/main" id="{29FDB283-3D6C-4379-9A9E-1838D9D75978}"/>
            </a:ext>
          </a:extLst>
        </xdr:cNvPr>
        <xdr:cNvSpPr/>
      </xdr:nvSpPr>
      <xdr:spPr>
        <a:xfrm>
          <a:off x="2219325" y="3724275"/>
          <a:ext cx="1905000" cy="314325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ko-KR" altLang="en-US" sz="1100">
              <a:solidFill>
                <a:schemeClr val="tx1"/>
              </a:solidFill>
              <a:latin typeface="맑은 고딕" panose="020B0503020000020004" pitchFamily="50" charset="-127"/>
              <a:ea typeface="+mn-ea"/>
            </a:rPr>
            <a:t>날짜</a:t>
          </a:r>
          <a:r>
            <a:rPr lang="en-US" altLang="ko-KR" sz="1100">
              <a:solidFill>
                <a:schemeClr val="tx1"/>
              </a:solidFill>
              <a:latin typeface="맑은 고딕" panose="020B0503020000020004" pitchFamily="50" charset="-127"/>
              <a:ea typeface="+mn-ea"/>
            </a:rPr>
            <a:t>_DATEDIF</a:t>
          </a:r>
          <a:endParaRPr lang="ko-KR" altLang="en-US" sz="1100">
            <a:solidFill>
              <a:schemeClr val="tx1"/>
            </a:solidFill>
            <a:latin typeface="맑은 고딕" panose="020B0503020000020004" pitchFamily="50" charset="-127"/>
            <a:ea typeface="맑은 고딕" panose="020B0503020000020004" pitchFamily="50" charset="-127"/>
          </a:endParaRPr>
        </a:p>
      </xdr:txBody>
    </xdr:sp>
    <xdr:clientData/>
  </xdr:twoCellAnchor>
  <xdr:twoCellAnchor>
    <xdr:from>
      <xdr:col>3</xdr:col>
      <xdr:colOff>0</xdr:colOff>
      <xdr:row>21</xdr:row>
      <xdr:rowOff>0</xdr:rowOff>
    </xdr:from>
    <xdr:to>
      <xdr:col>4</xdr:col>
      <xdr:colOff>0</xdr:colOff>
      <xdr:row>22</xdr:row>
      <xdr:rowOff>0</xdr:rowOff>
    </xdr:to>
    <xdr:sp macro="[0]!시트이동_날짜_WORKDAY" textlink="">
      <xdr:nvSpPr>
        <xdr:cNvPr id="36" name="직사각형 35">
          <a:extLst>
            <a:ext uri="{FF2B5EF4-FFF2-40B4-BE49-F238E27FC236}">
              <a16:creationId xmlns:a16="http://schemas.microsoft.com/office/drawing/2014/main" id="{4D9B7C27-DB5F-4227-B4F8-6AA67B5910E2}"/>
            </a:ext>
          </a:extLst>
        </xdr:cNvPr>
        <xdr:cNvSpPr/>
      </xdr:nvSpPr>
      <xdr:spPr>
        <a:xfrm>
          <a:off x="2219325" y="4114800"/>
          <a:ext cx="1905000" cy="314325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ko-KR" altLang="en-US" sz="1100">
              <a:solidFill>
                <a:schemeClr val="tx1"/>
              </a:solidFill>
              <a:latin typeface="맑은 고딕" panose="020B0503020000020004" pitchFamily="50" charset="-127"/>
              <a:ea typeface="+mn-ea"/>
            </a:rPr>
            <a:t>날짜</a:t>
          </a:r>
          <a:r>
            <a:rPr lang="en-US" altLang="ko-KR" sz="1100">
              <a:solidFill>
                <a:schemeClr val="tx1"/>
              </a:solidFill>
              <a:latin typeface="맑은 고딕" panose="020B0503020000020004" pitchFamily="50" charset="-127"/>
              <a:ea typeface="+mn-ea"/>
            </a:rPr>
            <a:t>_WORKDAY</a:t>
          </a:r>
          <a:endParaRPr lang="ko-KR" altLang="en-US" sz="1100">
            <a:solidFill>
              <a:schemeClr val="tx1"/>
            </a:solidFill>
            <a:latin typeface="맑은 고딕" panose="020B0503020000020004" pitchFamily="50" charset="-127"/>
            <a:ea typeface="맑은 고딕" panose="020B0503020000020004" pitchFamily="50" charset="-127"/>
          </a:endParaRPr>
        </a:p>
      </xdr:txBody>
    </xdr:sp>
    <xdr:clientData/>
  </xdr:twoCellAnchor>
  <xdr:twoCellAnchor>
    <xdr:from>
      <xdr:col>5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[0]!시트이동_날짜_년도별공휴일" textlink="">
      <xdr:nvSpPr>
        <xdr:cNvPr id="37" name="직사각형 36">
          <a:extLst>
            <a:ext uri="{FF2B5EF4-FFF2-40B4-BE49-F238E27FC236}">
              <a16:creationId xmlns:a16="http://schemas.microsoft.com/office/drawing/2014/main" id="{1F3619C1-EFEA-4DB2-B38B-FF9122877C8E}"/>
            </a:ext>
          </a:extLst>
        </xdr:cNvPr>
        <xdr:cNvSpPr/>
      </xdr:nvSpPr>
      <xdr:spPr>
        <a:xfrm>
          <a:off x="4267200" y="209550"/>
          <a:ext cx="1905000" cy="314325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ko-KR" altLang="en-US" sz="1100">
              <a:solidFill>
                <a:schemeClr val="tx1"/>
              </a:solidFill>
              <a:latin typeface="맑은 고딕" panose="020B0503020000020004" pitchFamily="50" charset="-127"/>
              <a:ea typeface="+mn-ea"/>
            </a:rPr>
            <a:t>년도별 공휴일</a:t>
          </a:r>
        </a:p>
      </xdr:txBody>
    </xdr:sp>
    <xdr:clientData/>
  </xdr:twoCellAnchor>
  <xdr:twoCellAnchor>
    <xdr:from>
      <xdr:col>5</xdr:col>
      <xdr:colOff>0</xdr:colOff>
      <xdr:row>15</xdr:row>
      <xdr:rowOff>0</xdr:rowOff>
    </xdr:from>
    <xdr:to>
      <xdr:col>6</xdr:col>
      <xdr:colOff>0</xdr:colOff>
      <xdr:row>16</xdr:row>
      <xdr:rowOff>0</xdr:rowOff>
    </xdr:to>
    <xdr:sp macro="[0]!시트이동_CHOOSE2" textlink="">
      <xdr:nvSpPr>
        <xdr:cNvPr id="45" name="직사각형 44">
          <a:extLst>
            <a:ext uri="{FF2B5EF4-FFF2-40B4-BE49-F238E27FC236}">
              <a16:creationId xmlns:a16="http://schemas.microsoft.com/office/drawing/2014/main" id="{CF035FD1-7CFB-43CD-9AC3-1181E176A62D}"/>
            </a:ext>
          </a:extLst>
        </xdr:cNvPr>
        <xdr:cNvSpPr/>
      </xdr:nvSpPr>
      <xdr:spPr>
        <a:xfrm>
          <a:off x="4267200" y="2943225"/>
          <a:ext cx="1905000" cy="314325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altLang="ko-KR" sz="1100">
              <a:solidFill>
                <a:schemeClr val="tx1"/>
              </a:solidFill>
              <a:latin typeface="맑은 고딕" panose="020B0503020000020004" pitchFamily="50" charset="-127"/>
              <a:ea typeface="+mn-ea"/>
            </a:rPr>
            <a:t>CHOOSE_2</a:t>
          </a:r>
          <a:endParaRPr lang="ko-KR" altLang="en-US" sz="1100">
            <a:solidFill>
              <a:schemeClr val="tx1"/>
            </a:solidFill>
            <a:latin typeface="맑은 고딕" panose="020B0503020000020004" pitchFamily="50" charset="-127"/>
            <a:ea typeface="맑은 고딕" panose="020B0503020000020004" pitchFamily="50" charset="-127"/>
          </a:endParaRPr>
        </a:p>
      </xdr:txBody>
    </xdr:sp>
    <xdr:clientData/>
  </xdr:twoCellAnchor>
  <xdr:twoCellAnchor>
    <xdr:from>
      <xdr:col>3</xdr:col>
      <xdr:colOff>0</xdr:colOff>
      <xdr:row>1</xdr:row>
      <xdr:rowOff>0</xdr:rowOff>
    </xdr:from>
    <xdr:to>
      <xdr:col>4</xdr:col>
      <xdr:colOff>0</xdr:colOff>
      <xdr:row>2</xdr:row>
      <xdr:rowOff>0</xdr:rowOff>
    </xdr:to>
    <xdr:sp macro="[0]!시트이동_SUMIF외" textlink="">
      <xdr:nvSpPr>
        <xdr:cNvPr id="62" name="직사각형 61">
          <a:extLst>
            <a:ext uri="{FF2B5EF4-FFF2-40B4-BE49-F238E27FC236}">
              <a16:creationId xmlns:a16="http://schemas.microsoft.com/office/drawing/2014/main" id="{320D2C4A-2703-4328-A2D3-D33CE670A248}"/>
            </a:ext>
          </a:extLst>
        </xdr:cNvPr>
        <xdr:cNvSpPr/>
      </xdr:nvSpPr>
      <xdr:spPr>
        <a:xfrm>
          <a:off x="2219325" y="209550"/>
          <a:ext cx="1905000" cy="314325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altLang="ko-KR" sz="1100">
              <a:solidFill>
                <a:schemeClr val="tx1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SUMIF,AVERAGEIF</a:t>
          </a:r>
          <a:endParaRPr lang="ko-KR" altLang="en-US" sz="1100">
            <a:solidFill>
              <a:schemeClr val="tx1"/>
            </a:solidFill>
            <a:latin typeface="맑은 고딕" panose="020B0503020000020004" pitchFamily="50" charset="-127"/>
            <a:ea typeface="맑은 고딕" panose="020B0503020000020004" pitchFamily="50" charset="-127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0</xdr:colOff>
      <xdr:row>0</xdr:row>
      <xdr:rowOff>209550</xdr:rowOff>
    </xdr:to>
    <xdr:sp macro="[0]!시트이동_목차" textlink="">
      <xdr:nvSpPr>
        <xdr:cNvPr id="5" name="직사각형 4">
          <a:extLst>
            <a:ext uri="{FF2B5EF4-FFF2-40B4-BE49-F238E27FC236}">
              <a16:creationId xmlns:a16="http://schemas.microsoft.com/office/drawing/2014/main" id="{DE8C1722-3E87-4DBD-ACD1-8FFC9DB3DB79}"/>
            </a:ext>
          </a:extLst>
        </xdr:cNvPr>
        <xdr:cNvSpPr/>
      </xdr:nvSpPr>
      <xdr:spPr>
        <a:xfrm>
          <a:off x="0" y="0"/>
          <a:ext cx="200025" cy="2095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5</xdr:col>
      <xdr:colOff>447675</xdr:colOff>
      <xdr:row>11</xdr:row>
      <xdr:rowOff>9525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3C8C60DF-62F5-4339-AA16-DB761A6E9A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219075"/>
          <a:ext cx="3305175" cy="2152650"/>
        </a:xfrm>
        <a:prstGeom prst="rect">
          <a:avLst/>
        </a:prstGeom>
        <a:solidFill>
          <a:schemeClr val="bg1"/>
        </a:solidFill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1</xdr:row>
      <xdr:rowOff>57150</xdr:rowOff>
    </xdr:from>
    <xdr:to>
      <xdr:col>7</xdr:col>
      <xdr:colOff>581025</xdr:colOff>
      <xdr:row>15</xdr:row>
      <xdr:rowOff>171450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46CA69B0-5FD5-4105-8F6B-2028D85969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" y="266700"/>
          <a:ext cx="4191000" cy="3048000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200025</xdr:colOff>
      <xdr:row>1</xdr:row>
      <xdr:rowOff>0</xdr:rowOff>
    </xdr:to>
    <xdr:sp macro="[0]!시트이동_목차" textlink="">
      <xdr:nvSpPr>
        <xdr:cNvPr id="5" name="직사각형 4">
          <a:extLst>
            <a:ext uri="{FF2B5EF4-FFF2-40B4-BE49-F238E27FC236}">
              <a16:creationId xmlns:a16="http://schemas.microsoft.com/office/drawing/2014/main" id="{818AC8DA-0373-4981-B32F-B75C37F270BB}"/>
            </a:ext>
          </a:extLst>
        </xdr:cNvPr>
        <xdr:cNvSpPr/>
      </xdr:nvSpPr>
      <xdr:spPr>
        <a:xfrm>
          <a:off x="0" y="0"/>
          <a:ext cx="200025" cy="2095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</xdr:colOff>
      <xdr:row>0</xdr:row>
      <xdr:rowOff>1</xdr:rowOff>
    </xdr:from>
    <xdr:to>
      <xdr:col>6</xdr:col>
      <xdr:colOff>163870</xdr:colOff>
      <xdr:row>10</xdr:row>
      <xdr:rowOff>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6C8834BB-F849-40DE-A180-7F482A3C66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7651" y="1"/>
          <a:ext cx="4173894" cy="2095500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oneCell">
    <xdr:from>
      <xdr:col>7</xdr:col>
      <xdr:colOff>9525</xdr:colOff>
      <xdr:row>0</xdr:row>
      <xdr:rowOff>0</xdr:rowOff>
    </xdr:from>
    <xdr:to>
      <xdr:col>12</xdr:col>
      <xdr:colOff>342900</xdr:colOff>
      <xdr:row>9</xdr:row>
      <xdr:rowOff>208906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8EAF6698-103D-4249-A43B-39001DE97E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43475" y="0"/>
          <a:ext cx="4429125" cy="2094856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200025</xdr:colOff>
      <xdr:row>1</xdr:row>
      <xdr:rowOff>0</xdr:rowOff>
    </xdr:to>
    <xdr:sp macro="[0]!시트이동_목차" textlink="">
      <xdr:nvSpPr>
        <xdr:cNvPr id="5" name="직사각형 4">
          <a:extLst>
            <a:ext uri="{FF2B5EF4-FFF2-40B4-BE49-F238E27FC236}">
              <a16:creationId xmlns:a16="http://schemas.microsoft.com/office/drawing/2014/main" id="{F9B5EE5B-9777-496D-80E7-B1B49E29B76A}"/>
            </a:ext>
          </a:extLst>
        </xdr:cNvPr>
        <xdr:cNvSpPr/>
      </xdr:nvSpPr>
      <xdr:spPr>
        <a:xfrm>
          <a:off x="0" y="0"/>
          <a:ext cx="200025" cy="2095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8234</xdr:colOff>
      <xdr:row>30</xdr:row>
      <xdr:rowOff>114300</xdr:rowOff>
    </xdr:from>
    <xdr:to>
      <xdr:col>8</xdr:col>
      <xdr:colOff>219074</xdr:colOff>
      <xdr:row>52</xdr:row>
      <xdr:rowOff>152604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A24CFC8-5A29-4CB3-BFF9-36D989E231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6359" y="6400800"/>
          <a:ext cx="5382915" cy="4648404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oneCell">
    <xdr:from>
      <xdr:col>1</xdr:col>
      <xdr:colOff>19050</xdr:colOff>
      <xdr:row>10</xdr:row>
      <xdr:rowOff>11679</xdr:rowOff>
    </xdr:from>
    <xdr:to>
      <xdr:col>8</xdr:col>
      <xdr:colOff>274735</xdr:colOff>
      <xdr:row>29</xdr:row>
      <xdr:rowOff>19050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B87564DA-5878-4D3D-AC17-CB91781D08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7175" y="2107179"/>
          <a:ext cx="5427760" cy="3988821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oneCell">
    <xdr:from>
      <xdr:col>8</xdr:col>
      <xdr:colOff>789766</xdr:colOff>
      <xdr:row>21</xdr:row>
      <xdr:rowOff>161924</xdr:rowOff>
    </xdr:from>
    <xdr:to>
      <xdr:col>16</xdr:col>
      <xdr:colOff>89008</xdr:colOff>
      <xdr:row>40</xdr:row>
      <xdr:rowOff>152399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AFE0C426-178A-41E6-8CE6-3650A998C2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85641" y="4562474"/>
          <a:ext cx="5404767" cy="3971925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oneCell">
    <xdr:from>
      <xdr:col>9</xdr:col>
      <xdr:colOff>85725</xdr:colOff>
      <xdr:row>41</xdr:row>
      <xdr:rowOff>200025</xdr:rowOff>
    </xdr:from>
    <xdr:to>
      <xdr:col>16</xdr:col>
      <xdr:colOff>85725</xdr:colOff>
      <xdr:row>69</xdr:row>
      <xdr:rowOff>142875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8E6B3DB4-D145-40AD-8291-D55265864F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38850" y="8791575"/>
          <a:ext cx="5248275" cy="5810250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0</xdr:col>
      <xdr:colOff>19050</xdr:colOff>
      <xdr:row>0</xdr:row>
      <xdr:rowOff>0</xdr:rowOff>
    </xdr:from>
    <xdr:to>
      <xdr:col>0</xdr:col>
      <xdr:colOff>219075</xdr:colOff>
      <xdr:row>1</xdr:row>
      <xdr:rowOff>0</xdr:rowOff>
    </xdr:to>
    <xdr:sp macro="[0]!시트이동_목차" textlink="">
      <xdr:nvSpPr>
        <xdr:cNvPr id="8" name="직사각형 7">
          <a:extLst>
            <a:ext uri="{FF2B5EF4-FFF2-40B4-BE49-F238E27FC236}">
              <a16:creationId xmlns:a16="http://schemas.microsoft.com/office/drawing/2014/main" id="{EA5C01A8-A084-4663-94CC-77EA38E1F4BC}"/>
            </a:ext>
          </a:extLst>
        </xdr:cNvPr>
        <xdr:cNvSpPr/>
      </xdr:nvSpPr>
      <xdr:spPr>
        <a:xfrm>
          <a:off x="19050" y="0"/>
          <a:ext cx="200025" cy="2095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1</xdr:row>
      <xdr:rowOff>9525</xdr:rowOff>
    </xdr:from>
    <xdr:to>
      <xdr:col>7</xdr:col>
      <xdr:colOff>419100</xdr:colOff>
      <xdr:row>19</xdr:row>
      <xdr:rowOff>184837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7C694096-EA12-4463-B6DE-90C030D239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" y="219075"/>
          <a:ext cx="4514850" cy="4575862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0</xdr:col>
      <xdr:colOff>19050</xdr:colOff>
      <xdr:row>0</xdr:row>
      <xdr:rowOff>0</xdr:rowOff>
    </xdr:from>
    <xdr:to>
      <xdr:col>0</xdr:col>
      <xdr:colOff>219075</xdr:colOff>
      <xdr:row>1</xdr:row>
      <xdr:rowOff>0</xdr:rowOff>
    </xdr:to>
    <xdr:sp macro="[0]!시트이동_목차" textlink="">
      <xdr:nvSpPr>
        <xdr:cNvPr id="5" name="직사각형 4">
          <a:extLst>
            <a:ext uri="{FF2B5EF4-FFF2-40B4-BE49-F238E27FC236}">
              <a16:creationId xmlns:a16="http://schemas.microsoft.com/office/drawing/2014/main" id="{15E34AA9-8B54-4A6E-9247-5FE214A70474}"/>
            </a:ext>
          </a:extLst>
        </xdr:cNvPr>
        <xdr:cNvSpPr/>
      </xdr:nvSpPr>
      <xdr:spPr>
        <a:xfrm>
          <a:off x="19050" y="0"/>
          <a:ext cx="200025" cy="2095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9524</xdr:colOff>
      <xdr:row>5</xdr:row>
      <xdr:rowOff>9525</xdr:rowOff>
    </xdr:from>
    <xdr:to>
      <xdr:col>14</xdr:col>
      <xdr:colOff>9525</xdr:colOff>
      <xdr:row>11</xdr:row>
      <xdr:rowOff>9526</xdr:rowOff>
    </xdr:to>
    <xdr:grpSp>
      <xdr:nvGrpSpPr>
        <xdr:cNvPr id="128" name="그룹 127">
          <a:extLst>
            <a:ext uri="{FF2B5EF4-FFF2-40B4-BE49-F238E27FC236}">
              <a16:creationId xmlns:a16="http://schemas.microsoft.com/office/drawing/2014/main" id="{2B9583CE-14B5-4378-8184-4C89350177BE}"/>
            </a:ext>
          </a:extLst>
        </xdr:cNvPr>
        <xdr:cNvGrpSpPr/>
      </xdr:nvGrpSpPr>
      <xdr:grpSpPr>
        <a:xfrm>
          <a:off x="4371974" y="1200150"/>
          <a:ext cx="4800601" cy="1257301"/>
          <a:chOff x="4362449" y="1190625"/>
          <a:chExt cx="4800601" cy="1257301"/>
        </a:xfrm>
      </xdr:grpSpPr>
      <xdr:sp macro="" textlink="">
        <xdr:nvSpPr>
          <xdr:cNvPr id="2" name="직사각형 1">
            <a:extLst>
              <a:ext uri="{FF2B5EF4-FFF2-40B4-BE49-F238E27FC236}">
                <a16:creationId xmlns:a16="http://schemas.microsoft.com/office/drawing/2014/main" id="{30B9A7D1-805F-43D7-B334-B5FCC4C93805}"/>
              </a:ext>
            </a:extLst>
          </xdr:cNvPr>
          <xdr:cNvSpPr/>
        </xdr:nvSpPr>
        <xdr:spPr>
          <a:xfrm>
            <a:off x="5734051" y="1190625"/>
            <a:ext cx="2057400" cy="419100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ko-KR" altLang="en-US" sz="1400"/>
          </a:p>
        </xdr:txBody>
      </xdr:sp>
      <xdr:cxnSp macro="">
        <xdr:nvCxnSpPr>
          <xdr:cNvPr id="8" name="연결선: 꺾임 7">
            <a:extLst>
              <a:ext uri="{FF2B5EF4-FFF2-40B4-BE49-F238E27FC236}">
                <a16:creationId xmlns:a16="http://schemas.microsoft.com/office/drawing/2014/main" id="{4100A66D-A11E-4690-A16F-FC820B58C2FA}"/>
              </a:ext>
            </a:extLst>
          </xdr:cNvPr>
          <xdr:cNvCxnSpPr>
            <a:stCxn id="2" idx="1"/>
            <a:endCxn id="3" idx="0"/>
          </xdr:cNvCxnSpPr>
        </xdr:nvCxnSpPr>
        <xdr:spPr>
          <a:xfrm rot="10800000" flipV="1">
            <a:off x="5391149" y="1400175"/>
            <a:ext cx="342902" cy="628650"/>
          </a:xfrm>
          <a:prstGeom prst="bentConnector2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연결선: 꺾임 8">
            <a:extLst>
              <a:ext uri="{FF2B5EF4-FFF2-40B4-BE49-F238E27FC236}">
                <a16:creationId xmlns:a16="http://schemas.microsoft.com/office/drawing/2014/main" id="{98840B89-2252-435D-A274-5432DBF318E9}"/>
              </a:ext>
            </a:extLst>
          </xdr:cNvPr>
          <xdr:cNvCxnSpPr>
            <a:stCxn id="2" idx="3"/>
            <a:endCxn id="4" idx="0"/>
          </xdr:cNvCxnSpPr>
        </xdr:nvCxnSpPr>
        <xdr:spPr>
          <a:xfrm>
            <a:off x="7791451" y="1400175"/>
            <a:ext cx="342899" cy="628650"/>
          </a:xfrm>
          <a:prstGeom prst="bentConnector2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36" name="그룹 35">
            <a:extLst>
              <a:ext uri="{FF2B5EF4-FFF2-40B4-BE49-F238E27FC236}">
                <a16:creationId xmlns:a16="http://schemas.microsoft.com/office/drawing/2014/main" id="{001C0884-82DC-4960-9F07-146ABC3204EB}"/>
              </a:ext>
            </a:extLst>
          </xdr:cNvPr>
          <xdr:cNvGrpSpPr/>
        </xdr:nvGrpSpPr>
        <xdr:grpSpPr>
          <a:xfrm>
            <a:off x="4362449" y="1819276"/>
            <a:ext cx="2057400" cy="628650"/>
            <a:chOff x="4200526" y="2232026"/>
            <a:chExt cx="2901219" cy="692150"/>
          </a:xfrm>
        </xdr:grpSpPr>
        <xdr:sp macro="" textlink="">
          <xdr:nvSpPr>
            <xdr:cNvPr id="3" name="직사각형 2">
              <a:extLst>
                <a:ext uri="{FF2B5EF4-FFF2-40B4-BE49-F238E27FC236}">
                  <a16:creationId xmlns:a16="http://schemas.microsoft.com/office/drawing/2014/main" id="{DB9A90E9-6A5C-4737-99D0-E2C36BCEA59F}"/>
                </a:ext>
              </a:extLst>
            </xdr:cNvPr>
            <xdr:cNvSpPr/>
          </xdr:nvSpPr>
          <xdr:spPr>
            <a:xfrm>
              <a:off x="4200526" y="2462742"/>
              <a:ext cx="2901219" cy="461434"/>
            </a:xfrm>
            <a:prstGeom prst="rect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endParaRPr lang="ko-KR" altLang="en-US" sz="1400"/>
            </a:p>
          </xdr:txBody>
        </xdr:sp>
        <xdr:sp macro="" textlink="">
          <xdr:nvSpPr>
            <xdr:cNvPr id="20" name="직사각형 19">
              <a:extLst>
                <a:ext uri="{FF2B5EF4-FFF2-40B4-BE49-F238E27FC236}">
                  <a16:creationId xmlns:a16="http://schemas.microsoft.com/office/drawing/2014/main" id="{CF6EA4E3-ECC5-4608-B2B4-0FE9CB355AC0}"/>
                </a:ext>
              </a:extLst>
            </xdr:cNvPr>
            <xdr:cNvSpPr/>
          </xdr:nvSpPr>
          <xdr:spPr>
            <a:xfrm>
              <a:off x="4200527" y="2232026"/>
              <a:ext cx="967072" cy="230717"/>
            </a:xfrm>
            <a:prstGeom prst="rect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400"/>
                <a:t>TRUE</a:t>
              </a:r>
              <a:endParaRPr lang="ko-KR" altLang="en-US" sz="1400"/>
            </a:p>
          </xdr:txBody>
        </xdr:sp>
      </xdr:grpSp>
      <xdr:grpSp>
        <xdr:nvGrpSpPr>
          <xdr:cNvPr id="37" name="그룹 36">
            <a:extLst>
              <a:ext uri="{FF2B5EF4-FFF2-40B4-BE49-F238E27FC236}">
                <a16:creationId xmlns:a16="http://schemas.microsoft.com/office/drawing/2014/main" id="{9453F0CA-23EF-467C-8B54-B0C63E5357E1}"/>
              </a:ext>
            </a:extLst>
          </xdr:cNvPr>
          <xdr:cNvGrpSpPr/>
        </xdr:nvGrpSpPr>
        <xdr:grpSpPr>
          <a:xfrm>
            <a:off x="7105650" y="1819275"/>
            <a:ext cx="2057400" cy="628651"/>
            <a:chOff x="7096125" y="2163425"/>
            <a:chExt cx="2057400" cy="692151"/>
          </a:xfrm>
        </xdr:grpSpPr>
        <xdr:sp macro="" textlink="">
          <xdr:nvSpPr>
            <xdr:cNvPr id="4" name="직사각형 3">
              <a:extLst>
                <a:ext uri="{FF2B5EF4-FFF2-40B4-BE49-F238E27FC236}">
                  <a16:creationId xmlns:a16="http://schemas.microsoft.com/office/drawing/2014/main" id="{3756F50C-CD98-4179-B2B4-A547CA545E87}"/>
                </a:ext>
              </a:extLst>
            </xdr:cNvPr>
            <xdr:cNvSpPr/>
          </xdr:nvSpPr>
          <xdr:spPr>
            <a:xfrm>
              <a:off x="7096125" y="2394143"/>
              <a:ext cx="2057400" cy="461433"/>
            </a:xfrm>
            <a:prstGeom prst="rect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endParaRPr lang="ko-KR" altLang="en-US" sz="1400"/>
            </a:p>
          </xdr:txBody>
        </xdr:sp>
        <xdr:sp macro="" textlink="">
          <xdr:nvSpPr>
            <xdr:cNvPr id="35" name="직사각형 34">
              <a:extLst>
                <a:ext uri="{FF2B5EF4-FFF2-40B4-BE49-F238E27FC236}">
                  <a16:creationId xmlns:a16="http://schemas.microsoft.com/office/drawing/2014/main" id="{0E725C60-A5B9-49EA-9A66-2D8CE6D19E9A}"/>
                </a:ext>
              </a:extLst>
            </xdr:cNvPr>
            <xdr:cNvSpPr/>
          </xdr:nvSpPr>
          <xdr:spPr>
            <a:xfrm>
              <a:off x="8467725" y="2163425"/>
              <a:ext cx="685800" cy="230718"/>
            </a:xfrm>
            <a:prstGeom prst="rect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400"/>
                <a:t>FALSE</a:t>
              </a:r>
              <a:endParaRPr lang="ko-KR" altLang="en-US" sz="1400"/>
            </a:p>
          </xdr:txBody>
        </xdr:sp>
      </xdr:grpSp>
    </xdr:grpSp>
    <xdr:clientData/>
  </xdr:twoCellAnchor>
  <xdr:twoCellAnchor>
    <xdr:from>
      <xdr:col>6</xdr:col>
      <xdr:colOff>0</xdr:colOff>
      <xdr:row>17</xdr:row>
      <xdr:rowOff>0</xdr:rowOff>
    </xdr:from>
    <xdr:to>
      <xdr:col>16</xdr:col>
      <xdr:colOff>0</xdr:colOff>
      <xdr:row>23</xdr:row>
      <xdr:rowOff>209549</xdr:rowOff>
    </xdr:to>
    <xdr:grpSp>
      <xdr:nvGrpSpPr>
        <xdr:cNvPr id="129" name="그룹 128">
          <a:extLst>
            <a:ext uri="{FF2B5EF4-FFF2-40B4-BE49-F238E27FC236}">
              <a16:creationId xmlns:a16="http://schemas.microsoft.com/office/drawing/2014/main" id="{70FCA212-B988-4798-AA67-02253C9CE97C}"/>
            </a:ext>
          </a:extLst>
        </xdr:cNvPr>
        <xdr:cNvGrpSpPr/>
      </xdr:nvGrpSpPr>
      <xdr:grpSpPr>
        <a:xfrm>
          <a:off x="3676650" y="3714750"/>
          <a:ext cx="6858000" cy="1466849"/>
          <a:chOff x="3676648" y="3581400"/>
          <a:chExt cx="6858000" cy="1466849"/>
        </a:xfrm>
      </xdr:grpSpPr>
      <xdr:sp macro="" textlink="">
        <xdr:nvSpPr>
          <xdr:cNvPr id="92" name="직사각형 91">
            <a:extLst>
              <a:ext uri="{FF2B5EF4-FFF2-40B4-BE49-F238E27FC236}">
                <a16:creationId xmlns:a16="http://schemas.microsoft.com/office/drawing/2014/main" id="{62A7151C-6F2C-419B-80AC-8F78FC2C95A0}"/>
              </a:ext>
            </a:extLst>
          </xdr:cNvPr>
          <xdr:cNvSpPr/>
        </xdr:nvSpPr>
        <xdr:spPr>
          <a:xfrm>
            <a:off x="5048247" y="3581400"/>
            <a:ext cx="4114801" cy="742950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ko-KR" altLang="en-US" sz="1200"/>
          </a:p>
        </xdr:txBody>
      </xdr:sp>
      <xdr:cxnSp macro="">
        <xdr:nvCxnSpPr>
          <xdr:cNvPr id="93" name="연결선: 꺾임 92">
            <a:extLst>
              <a:ext uri="{FF2B5EF4-FFF2-40B4-BE49-F238E27FC236}">
                <a16:creationId xmlns:a16="http://schemas.microsoft.com/office/drawing/2014/main" id="{0B10C70B-0B7C-45E1-B69A-B978CC27F715}"/>
              </a:ext>
            </a:extLst>
          </xdr:cNvPr>
          <xdr:cNvCxnSpPr>
            <a:stCxn id="92" idx="1"/>
            <a:endCxn id="96" idx="0"/>
          </xdr:cNvCxnSpPr>
        </xdr:nvCxnSpPr>
        <xdr:spPr>
          <a:xfrm rot="10800000" flipV="1">
            <a:off x="4705349" y="3952875"/>
            <a:ext cx="342899" cy="466722"/>
          </a:xfrm>
          <a:prstGeom prst="bentConnector2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4" name="연결선: 꺾임 93">
            <a:extLst>
              <a:ext uri="{FF2B5EF4-FFF2-40B4-BE49-F238E27FC236}">
                <a16:creationId xmlns:a16="http://schemas.microsoft.com/office/drawing/2014/main" id="{4623D02E-2517-4E94-BD79-D5440392655D}"/>
              </a:ext>
            </a:extLst>
          </xdr:cNvPr>
          <xdr:cNvCxnSpPr>
            <a:stCxn id="92" idx="3"/>
            <a:endCxn id="99" idx="0"/>
          </xdr:cNvCxnSpPr>
        </xdr:nvCxnSpPr>
        <xdr:spPr>
          <a:xfrm>
            <a:off x="9163048" y="3952875"/>
            <a:ext cx="342900" cy="466725"/>
          </a:xfrm>
          <a:prstGeom prst="bentConnector2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95" name="그룹 94">
            <a:extLst>
              <a:ext uri="{FF2B5EF4-FFF2-40B4-BE49-F238E27FC236}">
                <a16:creationId xmlns:a16="http://schemas.microsoft.com/office/drawing/2014/main" id="{82018E2F-E525-40F9-B6CF-A52EC8AC3B2D}"/>
              </a:ext>
            </a:extLst>
          </xdr:cNvPr>
          <xdr:cNvGrpSpPr/>
        </xdr:nvGrpSpPr>
        <xdr:grpSpPr>
          <a:xfrm>
            <a:off x="3676648" y="4210049"/>
            <a:ext cx="2057400" cy="838200"/>
            <a:chOff x="3233453" y="2232025"/>
            <a:chExt cx="2901219" cy="922867"/>
          </a:xfrm>
        </xdr:grpSpPr>
        <xdr:sp macro="" textlink="">
          <xdr:nvSpPr>
            <xdr:cNvPr id="96" name="직사각형 95">
              <a:extLst>
                <a:ext uri="{FF2B5EF4-FFF2-40B4-BE49-F238E27FC236}">
                  <a16:creationId xmlns:a16="http://schemas.microsoft.com/office/drawing/2014/main" id="{26C64AC8-2D77-4230-AEE2-C95063ADD3AC}"/>
                </a:ext>
              </a:extLst>
            </xdr:cNvPr>
            <xdr:cNvSpPr/>
          </xdr:nvSpPr>
          <xdr:spPr>
            <a:xfrm>
              <a:off x="3233453" y="2462739"/>
              <a:ext cx="2901219" cy="692153"/>
            </a:xfrm>
            <a:prstGeom prst="rect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endParaRPr lang="ko-KR" altLang="en-US" sz="1200"/>
            </a:p>
          </xdr:txBody>
        </xdr:sp>
        <xdr:sp macro="" textlink="">
          <xdr:nvSpPr>
            <xdr:cNvPr id="97" name="직사각형 96">
              <a:extLst>
                <a:ext uri="{FF2B5EF4-FFF2-40B4-BE49-F238E27FC236}">
                  <a16:creationId xmlns:a16="http://schemas.microsoft.com/office/drawing/2014/main" id="{9A24951C-8B65-42F0-B271-2AED70569320}"/>
                </a:ext>
              </a:extLst>
            </xdr:cNvPr>
            <xdr:cNvSpPr/>
          </xdr:nvSpPr>
          <xdr:spPr>
            <a:xfrm>
              <a:off x="3233454" y="2232025"/>
              <a:ext cx="967072" cy="230717"/>
            </a:xfrm>
            <a:prstGeom prst="rect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200"/>
                <a:t>TRUE</a:t>
              </a:r>
              <a:endParaRPr lang="ko-KR" altLang="en-US" sz="1200"/>
            </a:p>
          </xdr:txBody>
        </xdr:sp>
      </xdr:grpSp>
      <xdr:grpSp>
        <xdr:nvGrpSpPr>
          <xdr:cNvPr id="98" name="그룹 97">
            <a:extLst>
              <a:ext uri="{FF2B5EF4-FFF2-40B4-BE49-F238E27FC236}">
                <a16:creationId xmlns:a16="http://schemas.microsoft.com/office/drawing/2014/main" id="{D0E99F76-2C8E-446D-9B0D-100B77BE82D4}"/>
              </a:ext>
            </a:extLst>
          </xdr:cNvPr>
          <xdr:cNvGrpSpPr/>
        </xdr:nvGrpSpPr>
        <xdr:grpSpPr>
          <a:xfrm>
            <a:off x="8477248" y="4210048"/>
            <a:ext cx="2057400" cy="838201"/>
            <a:chOff x="8467724" y="2163424"/>
            <a:chExt cx="2057400" cy="922868"/>
          </a:xfrm>
        </xdr:grpSpPr>
        <xdr:sp macro="" textlink="">
          <xdr:nvSpPr>
            <xdr:cNvPr id="99" name="직사각형 98">
              <a:extLst>
                <a:ext uri="{FF2B5EF4-FFF2-40B4-BE49-F238E27FC236}">
                  <a16:creationId xmlns:a16="http://schemas.microsoft.com/office/drawing/2014/main" id="{1BAB514B-7C25-43F7-83C2-6C01BC8B622F}"/>
                </a:ext>
              </a:extLst>
            </xdr:cNvPr>
            <xdr:cNvSpPr/>
          </xdr:nvSpPr>
          <xdr:spPr>
            <a:xfrm>
              <a:off x="8467724" y="2394142"/>
              <a:ext cx="2057400" cy="692150"/>
            </a:xfrm>
            <a:prstGeom prst="rect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endParaRPr lang="ko-KR" altLang="en-US" sz="1200"/>
            </a:p>
          </xdr:txBody>
        </xdr:sp>
        <xdr:sp macro="" textlink="">
          <xdr:nvSpPr>
            <xdr:cNvPr id="100" name="직사각형 99">
              <a:extLst>
                <a:ext uri="{FF2B5EF4-FFF2-40B4-BE49-F238E27FC236}">
                  <a16:creationId xmlns:a16="http://schemas.microsoft.com/office/drawing/2014/main" id="{B54CB040-166B-41CC-BA14-F4697C65E239}"/>
                </a:ext>
              </a:extLst>
            </xdr:cNvPr>
            <xdr:cNvSpPr/>
          </xdr:nvSpPr>
          <xdr:spPr>
            <a:xfrm>
              <a:off x="9839324" y="2163424"/>
              <a:ext cx="685800" cy="230718"/>
            </a:xfrm>
            <a:prstGeom prst="rect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200"/>
                <a:t>FALSE</a:t>
              </a:r>
              <a:endParaRPr lang="ko-KR" altLang="en-US" sz="1200"/>
            </a:p>
          </xdr:txBody>
        </xdr:sp>
      </xdr:grpSp>
    </xdr:grpSp>
    <xdr:clientData/>
  </xdr:twoCellAnchor>
  <xdr:twoCellAnchor>
    <xdr:from>
      <xdr:col>9</xdr:col>
      <xdr:colOff>95248</xdr:colOff>
      <xdr:row>71</xdr:row>
      <xdr:rowOff>95250</xdr:rowOff>
    </xdr:from>
    <xdr:to>
      <xdr:col>16</xdr:col>
      <xdr:colOff>95249</xdr:colOff>
      <xdr:row>77</xdr:row>
      <xdr:rowOff>95251</xdr:rowOff>
    </xdr:to>
    <xdr:grpSp>
      <xdr:nvGrpSpPr>
        <xdr:cNvPr id="140" name="그룹 139">
          <a:extLst>
            <a:ext uri="{FF2B5EF4-FFF2-40B4-BE49-F238E27FC236}">
              <a16:creationId xmlns:a16="http://schemas.microsoft.com/office/drawing/2014/main" id="{CCF1E330-4BE0-4B3A-9FFD-728FCE8DE8F1}"/>
            </a:ext>
          </a:extLst>
        </xdr:cNvPr>
        <xdr:cNvGrpSpPr/>
      </xdr:nvGrpSpPr>
      <xdr:grpSpPr>
        <a:xfrm>
          <a:off x="5829298" y="15011400"/>
          <a:ext cx="4800601" cy="1257301"/>
          <a:chOff x="4362448" y="3581400"/>
          <a:chExt cx="4800601" cy="1257301"/>
        </a:xfrm>
      </xdr:grpSpPr>
      <xdr:sp macro="" textlink="">
        <xdr:nvSpPr>
          <xdr:cNvPr id="141" name="직사각형 140">
            <a:extLst>
              <a:ext uri="{FF2B5EF4-FFF2-40B4-BE49-F238E27FC236}">
                <a16:creationId xmlns:a16="http://schemas.microsoft.com/office/drawing/2014/main" id="{5D916FF9-0265-47B8-9F98-532DC259A653}"/>
              </a:ext>
            </a:extLst>
          </xdr:cNvPr>
          <xdr:cNvSpPr/>
        </xdr:nvSpPr>
        <xdr:spPr>
          <a:xfrm>
            <a:off x="5734050" y="3581400"/>
            <a:ext cx="2057400" cy="419100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ko-KR" altLang="en-US" sz="1400"/>
          </a:p>
        </xdr:txBody>
      </xdr:sp>
      <xdr:cxnSp macro="">
        <xdr:nvCxnSpPr>
          <xdr:cNvPr id="142" name="연결선: 꺾임 141">
            <a:extLst>
              <a:ext uri="{FF2B5EF4-FFF2-40B4-BE49-F238E27FC236}">
                <a16:creationId xmlns:a16="http://schemas.microsoft.com/office/drawing/2014/main" id="{57AE999C-B8A2-4E43-BBE0-001F9FBDE8DC}"/>
              </a:ext>
            </a:extLst>
          </xdr:cNvPr>
          <xdr:cNvCxnSpPr>
            <a:stCxn id="141" idx="1"/>
            <a:endCxn id="148" idx="0"/>
          </xdr:cNvCxnSpPr>
        </xdr:nvCxnSpPr>
        <xdr:spPr>
          <a:xfrm rot="10800000" flipV="1">
            <a:off x="5391148" y="3790950"/>
            <a:ext cx="342902" cy="628650"/>
          </a:xfrm>
          <a:prstGeom prst="bentConnector2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3" name="연결선: 꺾임 142">
            <a:extLst>
              <a:ext uri="{FF2B5EF4-FFF2-40B4-BE49-F238E27FC236}">
                <a16:creationId xmlns:a16="http://schemas.microsoft.com/office/drawing/2014/main" id="{88E9DBF5-9758-4796-994D-E14F2275E534}"/>
              </a:ext>
            </a:extLst>
          </xdr:cNvPr>
          <xdr:cNvCxnSpPr>
            <a:stCxn id="141" idx="3"/>
            <a:endCxn id="146" idx="0"/>
          </xdr:cNvCxnSpPr>
        </xdr:nvCxnSpPr>
        <xdr:spPr>
          <a:xfrm>
            <a:off x="7791450" y="3790950"/>
            <a:ext cx="342899" cy="628650"/>
          </a:xfrm>
          <a:prstGeom prst="bentConnector2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144" name="그룹 143">
            <a:extLst>
              <a:ext uri="{FF2B5EF4-FFF2-40B4-BE49-F238E27FC236}">
                <a16:creationId xmlns:a16="http://schemas.microsoft.com/office/drawing/2014/main" id="{8B350193-5B44-4205-8F7C-916E2A1B5484}"/>
              </a:ext>
            </a:extLst>
          </xdr:cNvPr>
          <xdr:cNvGrpSpPr/>
        </xdr:nvGrpSpPr>
        <xdr:grpSpPr>
          <a:xfrm>
            <a:off x="4362448" y="4210051"/>
            <a:ext cx="2057400" cy="628650"/>
            <a:chOff x="4200526" y="2232026"/>
            <a:chExt cx="2901219" cy="692150"/>
          </a:xfrm>
        </xdr:grpSpPr>
        <xdr:sp macro="" textlink="">
          <xdr:nvSpPr>
            <xdr:cNvPr id="148" name="직사각형 147">
              <a:extLst>
                <a:ext uri="{FF2B5EF4-FFF2-40B4-BE49-F238E27FC236}">
                  <a16:creationId xmlns:a16="http://schemas.microsoft.com/office/drawing/2014/main" id="{07DFF849-1354-430B-999B-137C358EAC37}"/>
                </a:ext>
              </a:extLst>
            </xdr:cNvPr>
            <xdr:cNvSpPr/>
          </xdr:nvSpPr>
          <xdr:spPr>
            <a:xfrm>
              <a:off x="4200526" y="2462742"/>
              <a:ext cx="2901219" cy="461434"/>
            </a:xfrm>
            <a:prstGeom prst="rect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endParaRPr lang="ko-KR" altLang="en-US" sz="1400"/>
            </a:p>
          </xdr:txBody>
        </xdr:sp>
        <xdr:sp macro="" textlink="">
          <xdr:nvSpPr>
            <xdr:cNvPr id="149" name="직사각형 148">
              <a:extLst>
                <a:ext uri="{FF2B5EF4-FFF2-40B4-BE49-F238E27FC236}">
                  <a16:creationId xmlns:a16="http://schemas.microsoft.com/office/drawing/2014/main" id="{727B4F76-51DF-4554-B152-3F6E3FB5AA97}"/>
                </a:ext>
              </a:extLst>
            </xdr:cNvPr>
            <xdr:cNvSpPr/>
          </xdr:nvSpPr>
          <xdr:spPr>
            <a:xfrm>
              <a:off x="4200527" y="2232026"/>
              <a:ext cx="967072" cy="230717"/>
            </a:xfrm>
            <a:prstGeom prst="rect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400"/>
                <a:t>TRUE</a:t>
              </a:r>
              <a:endParaRPr lang="ko-KR" altLang="en-US" sz="1400"/>
            </a:p>
          </xdr:txBody>
        </xdr:sp>
      </xdr:grpSp>
      <xdr:grpSp>
        <xdr:nvGrpSpPr>
          <xdr:cNvPr id="145" name="그룹 144">
            <a:extLst>
              <a:ext uri="{FF2B5EF4-FFF2-40B4-BE49-F238E27FC236}">
                <a16:creationId xmlns:a16="http://schemas.microsoft.com/office/drawing/2014/main" id="{E4E14D4B-DA6C-48FA-B97E-C6B54CC62843}"/>
              </a:ext>
            </a:extLst>
          </xdr:cNvPr>
          <xdr:cNvGrpSpPr/>
        </xdr:nvGrpSpPr>
        <xdr:grpSpPr>
          <a:xfrm>
            <a:off x="7105649" y="4210050"/>
            <a:ext cx="2057400" cy="628651"/>
            <a:chOff x="7096125" y="2163425"/>
            <a:chExt cx="2057400" cy="692151"/>
          </a:xfrm>
        </xdr:grpSpPr>
        <xdr:sp macro="" textlink="">
          <xdr:nvSpPr>
            <xdr:cNvPr id="146" name="직사각형 145">
              <a:extLst>
                <a:ext uri="{FF2B5EF4-FFF2-40B4-BE49-F238E27FC236}">
                  <a16:creationId xmlns:a16="http://schemas.microsoft.com/office/drawing/2014/main" id="{548C0F68-1E2D-49C2-87DA-0258376F0B1D}"/>
                </a:ext>
              </a:extLst>
            </xdr:cNvPr>
            <xdr:cNvSpPr/>
          </xdr:nvSpPr>
          <xdr:spPr>
            <a:xfrm>
              <a:off x="7096125" y="2394143"/>
              <a:ext cx="2057400" cy="461433"/>
            </a:xfrm>
            <a:prstGeom prst="rect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endParaRPr lang="ko-KR" altLang="en-US" sz="1400"/>
            </a:p>
          </xdr:txBody>
        </xdr:sp>
        <xdr:sp macro="" textlink="">
          <xdr:nvSpPr>
            <xdr:cNvPr id="147" name="직사각형 146">
              <a:extLst>
                <a:ext uri="{FF2B5EF4-FFF2-40B4-BE49-F238E27FC236}">
                  <a16:creationId xmlns:a16="http://schemas.microsoft.com/office/drawing/2014/main" id="{06C8C49D-A408-41EC-92CF-17D39B069347}"/>
                </a:ext>
              </a:extLst>
            </xdr:cNvPr>
            <xdr:cNvSpPr/>
          </xdr:nvSpPr>
          <xdr:spPr>
            <a:xfrm>
              <a:off x="8467725" y="2163425"/>
              <a:ext cx="685800" cy="230718"/>
            </a:xfrm>
            <a:prstGeom prst="rect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400"/>
                <a:t>FALSE</a:t>
              </a:r>
              <a:endParaRPr lang="ko-KR" altLang="en-US" sz="1400"/>
            </a:p>
          </xdr:txBody>
        </xdr:sp>
      </xdr:grpSp>
    </xdr:grpSp>
    <xdr:clientData/>
  </xdr:twoCellAnchor>
  <xdr:twoCellAnchor>
    <xdr:from>
      <xdr:col>5</xdr:col>
      <xdr:colOff>9525</xdr:colOff>
      <xdr:row>30</xdr:row>
      <xdr:rowOff>0</xdr:rowOff>
    </xdr:from>
    <xdr:to>
      <xdr:col>16</xdr:col>
      <xdr:colOff>0</xdr:colOff>
      <xdr:row>44</xdr:row>
      <xdr:rowOff>200028</xdr:rowOff>
    </xdr:to>
    <xdr:grpSp>
      <xdr:nvGrpSpPr>
        <xdr:cNvPr id="202" name="그룹 201">
          <a:extLst>
            <a:ext uri="{FF2B5EF4-FFF2-40B4-BE49-F238E27FC236}">
              <a16:creationId xmlns:a16="http://schemas.microsoft.com/office/drawing/2014/main" id="{7EF6B915-0313-4486-98A1-26EC442C0A45}"/>
            </a:ext>
          </a:extLst>
        </xdr:cNvPr>
        <xdr:cNvGrpSpPr/>
      </xdr:nvGrpSpPr>
      <xdr:grpSpPr>
        <a:xfrm>
          <a:off x="3000375" y="6315075"/>
          <a:ext cx="7534275" cy="3133728"/>
          <a:chOff x="4362450" y="5972174"/>
          <a:chExt cx="7534275" cy="3133728"/>
        </a:xfrm>
      </xdr:grpSpPr>
      <xdr:grpSp>
        <xdr:nvGrpSpPr>
          <xdr:cNvPr id="170" name="그룹 169">
            <a:extLst>
              <a:ext uri="{FF2B5EF4-FFF2-40B4-BE49-F238E27FC236}">
                <a16:creationId xmlns:a16="http://schemas.microsoft.com/office/drawing/2014/main" id="{2679AAE3-9C0D-4969-B274-20BF9DFA6529}"/>
              </a:ext>
            </a:extLst>
          </xdr:cNvPr>
          <xdr:cNvGrpSpPr/>
        </xdr:nvGrpSpPr>
        <xdr:grpSpPr>
          <a:xfrm>
            <a:off x="4362450" y="5972174"/>
            <a:ext cx="7534275" cy="3133728"/>
            <a:chOff x="4362448" y="3581400"/>
            <a:chExt cx="7534275" cy="3133728"/>
          </a:xfrm>
        </xdr:grpSpPr>
        <xdr:sp macro="" textlink="">
          <xdr:nvSpPr>
            <xdr:cNvPr id="171" name="직사각형 170">
              <a:extLst>
                <a:ext uri="{FF2B5EF4-FFF2-40B4-BE49-F238E27FC236}">
                  <a16:creationId xmlns:a16="http://schemas.microsoft.com/office/drawing/2014/main" id="{9D31C8A6-5A1A-4AE8-82BC-03D4DE96A376}"/>
                </a:ext>
              </a:extLst>
            </xdr:cNvPr>
            <xdr:cNvSpPr/>
          </xdr:nvSpPr>
          <xdr:spPr>
            <a:xfrm>
              <a:off x="5734050" y="3581400"/>
              <a:ext cx="2057400" cy="419100"/>
            </a:xfrm>
            <a:prstGeom prst="rect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endParaRPr lang="ko-KR" altLang="en-US" sz="1400"/>
            </a:p>
          </xdr:txBody>
        </xdr:sp>
        <xdr:cxnSp macro="">
          <xdr:nvCxnSpPr>
            <xdr:cNvPr id="172" name="연결선: 꺾임 171">
              <a:extLst>
                <a:ext uri="{FF2B5EF4-FFF2-40B4-BE49-F238E27FC236}">
                  <a16:creationId xmlns:a16="http://schemas.microsoft.com/office/drawing/2014/main" id="{2AECF8BD-D92B-4ACE-B8AF-BEC124ABBEEA}"/>
                </a:ext>
              </a:extLst>
            </xdr:cNvPr>
            <xdr:cNvCxnSpPr>
              <a:stCxn id="171" idx="1"/>
              <a:endCxn id="178" idx="0"/>
            </xdr:cNvCxnSpPr>
          </xdr:nvCxnSpPr>
          <xdr:spPr>
            <a:xfrm rot="10800000" flipV="1">
              <a:off x="5391148" y="3790950"/>
              <a:ext cx="342902" cy="628650"/>
            </a:xfrm>
            <a:prstGeom prst="bentConnector2">
              <a:avLst/>
            </a:prstGeom>
            <a:ln w="381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73" name="연결선: 꺾임 172">
              <a:extLst>
                <a:ext uri="{FF2B5EF4-FFF2-40B4-BE49-F238E27FC236}">
                  <a16:creationId xmlns:a16="http://schemas.microsoft.com/office/drawing/2014/main" id="{B4F7F3E2-E1F8-4A17-8488-F969FE363DD1}"/>
                </a:ext>
              </a:extLst>
            </xdr:cNvPr>
            <xdr:cNvCxnSpPr>
              <a:stCxn id="171" idx="3"/>
              <a:endCxn id="176" idx="0"/>
            </xdr:cNvCxnSpPr>
          </xdr:nvCxnSpPr>
          <xdr:spPr>
            <a:xfrm>
              <a:off x="7791450" y="3790950"/>
              <a:ext cx="1704973" cy="1247776"/>
            </a:xfrm>
            <a:prstGeom prst="bentConnector2">
              <a:avLst/>
            </a:prstGeom>
            <a:ln w="381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grpSp>
          <xdr:nvGrpSpPr>
            <xdr:cNvPr id="174" name="그룹 173">
              <a:extLst>
                <a:ext uri="{FF2B5EF4-FFF2-40B4-BE49-F238E27FC236}">
                  <a16:creationId xmlns:a16="http://schemas.microsoft.com/office/drawing/2014/main" id="{7FB14F63-11E3-436F-B1C3-4C7DCD1BEB11}"/>
                </a:ext>
              </a:extLst>
            </xdr:cNvPr>
            <xdr:cNvGrpSpPr/>
          </xdr:nvGrpSpPr>
          <xdr:grpSpPr>
            <a:xfrm>
              <a:off x="4362448" y="4210051"/>
              <a:ext cx="2057400" cy="628650"/>
              <a:chOff x="4200526" y="2232026"/>
              <a:chExt cx="2901219" cy="692150"/>
            </a:xfrm>
          </xdr:grpSpPr>
          <xdr:sp macro="" textlink="">
            <xdr:nvSpPr>
              <xdr:cNvPr id="178" name="직사각형 177">
                <a:extLst>
                  <a:ext uri="{FF2B5EF4-FFF2-40B4-BE49-F238E27FC236}">
                    <a16:creationId xmlns:a16="http://schemas.microsoft.com/office/drawing/2014/main" id="{7E0B69E8-296C-4F27-912B-F91E3C15D0BB}"/>
                  </a:ext>
                </a:extLst>
              </xdr:cNvPr>
              <xdr:cNvSpPr/>
            </xdr:nvSpPr>
            <xdr:spPr>
              <a:xfrm>
                <a:off x="4200526" y="2462742"/>
                <a:ext cx="2901219" cy="461434"/>
              </a:xfrm>
              <a:prstGeom prst="rect">
                <a:avLst/>
              </a:prstGeom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endParaRPr lang="ko-KR" altLang="en-US" sz="1400"/>
              </a:p>
            </xdr:txBody>
          </xdr:sp>
          <xdr:sp macro="" textlink="">
            <xdr:nvSpPr>
              <xdr:cNvPr id="179" name="직사각형 178">
                <a:extLst>
                  <a:ext uri="{FF2B5EF4-FFF2-40B4-BE49-F238E27FC236}">
                    <a16:creationId xmlns:a16="http://schemas.microsoft.com/office/drawing/2014/main" id="{E0C89A4E-B0BF-401F-98F1-22D3800E4B22}"/>
                  </a:ext>
                </a:extLst>
              </xdr:cNvPr>
              <xdr:cNvSpPr/>
            </xdr:nvSpPr>
            <xdr:spPr>
              <a:xfrm>
                <a:off x="4200527" y="2232026"/>
                <a:ext cx="967072" cy="230717"/>
              </a:xfrm>
              <a:prstGeom prst="rect">
                <a:avLst/>
              </a:prstGeom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n-US" altLang="ko-KR" sz="1400"/>
                  <a:t>TRUE</a:t>
                </a:r>
                <a:endParaRPr lang="ko-KR" altLang="en-US" sz="1400"/>
              </a:p>
            </xdr:txBody>
          </xdr:sp>
        </xdr:grpSp>
        <xdr:grpSp>
          <xdr:nvGrpSpPr>
            <xdr:cNvPr id="175" name="그룹 174">
              <a:extLst>
                <a:ext uri="{FF2B5EF4-FFF2-40B4-BE49-F238E27FC236}">
                  <a16:creationId xmlns:a16="http://schemas.microsoft.com/office/drawing/2014/main" id="{1A6837F8-E7EE-48A3-B9C0-C11F25C512D2}"/>
                </a:ext>
              </a:extLst>
            </xdr:cNvPr>
            <xdr:cNvGrpSpPr/>
          </xdr:nvGrpSpPr>
          <xdr:grpSpPr>
            <a:xfrm>
              <a:off x="7096123" y="4819651"/>
              <a:ext cx="4800600" cy="1895477"/>
              <a:chOff x="7086599" y="2834602"/>
              <a:chExt cx="4800600" cy="2086939"/>
            </a:xfrm>
          </xdr:grpSpPr>
          <xdr:sp macro="" textlink="">
            <xdr:nvSpPr>
              <xdr:cNvPr id="176" name="직사각형 175">
                <a:extLst>
                  <a:ext uri="{FF2B5EF4-FFF2-40B4-BE49-F238E27FC236}">
                    <a16:creationId xmlns:a16="http://schemas.microsoft.com/office/drawing/2014/main" id="{7D3EC8C1-DB1F-4C94-A178-0E7F3576AD58}"/>
                  </a:ext>
                </a:extLst>
              </xdr:cNvPr>
              <xdr:cNvSpPr/>
            </xdr:nvSpPr>
            <xdr:spPr>
              <a:xfrm>
                <a:off x="8458199" y="3075807"/>
                <a:ext cx="2057400" cy="461433"/>
              </a:xfrm>
              <a:prstGeom prst="rect">
                <a:avLst/>
              </a:prstGeom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endParaRPr lang="ko-KR" altLang="en-US" sz="1400"/>
              </a:p>
            </xdr:txBody>
          </xdr:sp>
          <xdr:sp macro="" textlink="">
            <xdr:nvSpPr>
              <xdr:cNvPr id="177" name="직사각형 176">
                <a:extLst>
                  <a:ext uri="{FF2B5EF4-FFF2-40B4-BE49-F238E27FC236}">
                    <a16:creationId xmlns:a16="http://schemas.microsoft.com/office/drawing/2014/main" id="{BCE345A4-E12C-4AA1-8B44-F557D1CAD271}"/>
                  </a:ext>
                </a:extLst>
              </xdr:cNvPr>
              <xdr:cNvSpPr/>
            </xdr:nvSpPr>
            <xdr:spPr>
              <a:xfrm>
                <a:off x="9829799" y="2834602"/>
                <a:ext cx="685800" cy="230718"/>
              </a:xfrm>
              <a:prstGeom prst="rect">
                <a:avLst/>
              </a:prstGeom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n-US" altLang="ko-KR" sz="1400"/>
                  <a:t>FALSE</a:t>
                </a:r>
                <a:endParaRPr lang="ko-KR" altLang="en-US" sz="1400"/>
              </a:p>
            </xdr:txBody>
          </xdr:sp>
          <xdr:sp macro="" textlink="">
            <xdr:nvSpPr>
              <xdr:cNvPr id="191" name="직사각형 190">
                <a:extLst>
                  <a:ext uri="{FF2B5EF4-FFF2-40B4-BE49-F238E27FC236}">
                    <a16:creationId xmlns:a16="http://schemas.microsoft.com/office/drawing/2014/main" id="{E10A64EE-AB71-4C34-9CB7-3BFC65A838B0}"/>
                  </a:ext>
                </a:extLst>
              </xdr:cNvPr>
              <xdr:cNvSpPr/>
            </xdr:nvSpPr>
            <xdr:spPr>
              <a:xfrm>
                <a:off x="7086599" y="4460107"/>
                <a:ext cx="2057400" cy="461433"/>
              </a:xfrm>
              <a:prstGeom prst="rect">
                <a:avLst/>
              </a:prstGeom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endParaRPr lang="ko-KR" altLang="en-US" sz="1400"/>
              </a:p>
            </xdr:txBody>
          </xdr:sp>
          <xdr:sp macro="" textlink="">
            <xdr:nvSpPr>
              <xdr:cNvPr id="192" name="직사각형 191">
                <a:extLst>
                  <a:ext uri="{FF2B5EF4-FFF2-40B4-BE49-F238E27FC236}">
                    <a16:creationId xmlns:a16="http://schemas.microsoft.com/office/drawing/2014/main" id="{AD8FDB1B-8D54-4F39-91D4-2F1ABEFCCF73}"/>
                  </a:ext>
                </a:extLst>
              </xdr:cNvPr>
              <xdr:cNvSpPr/>
            </xdr:nvSpPr>
            <xdr:spPr>
              <a:xfrm>
                <a:off x="9829799" y="4460108"/>
                <a:ext cx="2057400" cy="461433"/>
              </a:xfrm>
              <a:prstGeom prst="rect">
                <a:avLst/>
              </a:prstGeom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endParaRPr lang="ko-KR" altLang="en-US" sz="1400"/>
              </a:p>
            </xdr:txBody>
          </xdr:sp>
        </xdr:grpSp>
        <xdr:cxnSp macro="">
          <xdr:nvCxnSpPr>
            <xdr:cNvPr id="194" name="연결선: 꺾임 193">
              <a:extLst>
                <a:ext uri="{FF2B5EF4-FFF2-40B4-BE49-F238E27FC236}">
                  <a16:creationId xmlns:a16="http://schemas.microsoft.com/office/drawing/2014/main" id="{2D6918B2-423A-4E76-911B-F87B73FE1FA1}"/>
                </a:ext>
              </a:extLst>
            </xdr:cNvPr>
            <xdr:cNvCxnSpPr>
              <a:stCxn id="176" idx="1"/>
              <a:endCxn id="191" idx="0"/>
            </xdr:cNvCxnSpPr>
          </xdr:nvCxnSpPr>
          <xdr:spPr>
            <a:xfrm rot="10800000" flipV="1">
              <a:off x="8124823" y="5248276"/>
              <a:ext cx="342900" cy="1047750"/>
            </a:xfrm>
            <a:prstGeom prst="bentConnector2">
              <a:avLst/>
            </a:prstGeom>
            <a:ln w="381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7" name="연결선: 꺾임 196">
              <a:extLst>
                <a:ext uri="{FF2B5EF4-FFF2-40B4-BE49-F238E27FC236}">
                  <a16:creationId xmlns:a16="http://schemas.microsoft.com/office/drawing/2014/main" id="{C549DD09-AEE2-4B03-8C02-31CC2300CE65}"/>
                </a:ext>
              </a:extLst>
            </xdr:cNvPr>
            <xdr:cNvCxnSpPr>
              <a:stCxn id="176" idx="3"/>
              <a:endCxn id="192" idx="0"/>
            </xdr:cNvCxnSpPr>
          </xdr:nvCxnSpPr>
          <xdr:spPr>
            <a:xfrm>
              <a:off x="10525123" y="5248276"/>
              <a:ext cx="342900" cy="1047751"/>
            </a:xfrm>
            <a:prstGeom prst="bentConnector2">
              <a:avLst/>
            </a:prstGeom>
            <a:ln w="381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0" name="직사각형 199">
            <a:extLst>
              <a:ext uri="{FF2B5EF4-FFF2-40B4-BE49-F238E27FC236}">
                <a16:creationId xmlns:a16="http://schemas.microsoft.com/office/drawing/2014/main" id="{876F77C6-07FB-49D4-92FF-D10D28872C9B}"/>
              </a:ext>
            </a:extLst>
          </xdr:cNvPr>
          <xdr:cNvSpPr/>
        </xdr:nvSpPr>
        <xdr:spPr>
          <a:xfrm>
            <a:off x="7096125" y="8477250"/>
            <a:ext cx="685799" cy="209550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altLang="ko-KR" sz="1400"/>
              <a:t>TRUE</a:t>
            </a:r>
            <a:endParaRPr lang="ko-KR" altLang="en-US" sz="1400"/>
          </a:p>
        </xdr:txBody>
      </xdr:sp>
      <xdr:sp macro="" textlink="">
        <xdr:nvSpPr>
          <xdr:cNvPr id="201" name="직사각형 200">
            <a:extLst>
              <a:ext uri="{FF2B5EF4-FFF2-40B4-BE49-F238E27FC236}">
                <a16:creationId xmlns:a16="http://schemas.microsoft.com/office/drawing/2014/main" id="{35250D42-39E1-4FD5-84FD-A92A42431390}"/>
              </a:ext>
            </a:extLst>
          </xdr:cNvPr>
          <xdr:cNvSpPr/>
        </xdr:nvSpPr>
        <xdr:spPr>
          <a:xfrm>
            <a:off x="11210925" y="8477250"/>
            <a:ext cx="685800" cy="209551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altLang="ko-KR" sz="1400"/>
              <a:t>FALSE</a:t>
            </a:r>
            <a:endParaRPr lang="ko-KR" altLang="en-US" sz="1400"/>
          </a:p>
        </xdr:txBody>
      </xdr:sp>
    </xdr:grpSp>
    <xdr:clientData/>
  </xdr:twoCellAnchor>
  <xdr:twoCellAnchor>
    <xdr:from>
      <xdr:col>5</xdr:col>
      <xdr:colOff>0</xdr:colOff>
      <xdr:row>51</xdr:row>
      <xdr:rowOff>9526</xdr:rowOff>
    </xdr:from>
    <xdr:to>
      <xdr:col>15</xdr:col>
      <xdr:colOff>0</xdr:colOff>
      <xdr:row>58</xdr:row>
      <xdr:rowOff>9525</xdr:rowOff>
    </xdr:to>
    <xdr:grpSp>
      <xdr:nvGrpSpPr>
        <xdr:cNvPr id="233" name="그룹 232">
          <a:extLst>
            <a:ext uri="{FF2B5EF4-FFF2-40B4-BE49-F238E27FC236}">
              <a16:creationId xmlns:a16="http://schemas.microsoft.com/office/drawing/2014/main" id="{917851B8-FB0E-4458-96F8-166D76C1E20B}"/>
            </a:ext>
          </a:extLst>
        </xdr:cNvPr>
        <xdr:cNvGrpSpPr/>
      </xdr:nvGrpSpPr>
      <xdr:grpSpPr>
        <a:xfrm>
          <a:off x="2990850" y="10734676"/>
          <a:ext cx="6858000" cy="1466849"/>
          <a:chOff x="3676648" y="3581400"/>
          <a:chExt cx="6858000" cy="1466849"/>
        </a:xfrm>
      </xdr:grpSpPr>
      <xdr:sp macro="" textlink="">
        <xdr:nvSpPr>
          <xdr:cNvPr id="234" name="직사각형 233">
            <a:extLst>
              <a:ext uri="{FF2B5EF4-FFF2-40B4-BE49-F238E27FC236}">
                <a16:creationId xmlns:a16="http://schemas.microsoft.com/office/drawing/2014/main" id="{A88BDED1-4491-42A3-9685-848FEBA12EBA}"/>
              </a:ext>
            </a:extLst>
          </xdr:cNvPr>
          <xdr:cNvSpPr/>
        </xdr:nvSpPr>
        <xdr:spPr>
          <a:xfrm>
            <a:off x="5048248" y="3581400"/>
            <a:ext cx="4114800" cy="742950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ko-KR" altLang="en-US" sz="1200"/>
          </a:p>
        </xdr:txBody>
      </xdr:sp>
      <xdr:cxnSp macro="">
        <xdr:nvCxnSpPr>
          <xdr:cNvPr id="235" name="연결선: 꺾임 234">
            <a:extLst>
              <a:ext uri="{FF2B5EF4-FFF2-40B4-BE49-F238E27FC236}">
                <a16:creationId xmlns:a16="http://schemas.microsoft.com/office/drawing/2014/main" id="{79A9A5B9-EBD9-423D-9391-DE9C13D89B06}"/>
              </a:ext>
            </a:extLst>
          </xdr:cNvPr>
          <xdr:cNvCxnSpPr>
            <a:stCxn id="234" idx="1"/>
            <a:endCxn id="241" idx="0"/>
          </xdr:cNvCxnSpPr>
        </xdr:nvCxnSpPr>
        <xdr:spPr>
          <a:xfrm rot="10800000" flipV="1">
            <a:off x="4705348" y="3952875"/>
            <a:ext cx="342900" cy="466722"/>
          </a:xfrm>
          <a:prstGeom prst="bentConnector2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36" name="연결선: 꺾임 235">
            <a:extLst>
              <a:ext uri="{FF2B5EF4-FFF2-40B4-BE49-F238E27FC236}">
                <a16:creationId xmlns:a16="http://schemas.microsoft.com/office/drawing/2014/main" id="{63D11CE7-4E67-4445-B94C-4CBE56182489}"/>
              </a:ext>
            </a:extLst>
          </xdr:cNvPr>
          <xdr:cNvCxnSpPr>
            <a:stCxn id="234" idx="3"/>
            <a:endCxn id="239" idx="0"/>
          </xdr:cNvCxnSpPr>
        </xdr:nvCxnSpPr>
        <xdr:spPr>
          <a:xfrm>
            <a:off x="9163048" y="3952875"/>
            <a:ext cx="342900" cy="466724"/>
          </a:xfrm>
          <a:prstGeom prst="bentConnector2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237" name="그룹 236">
            <a:extLst>
              <a:ext uri="{FF2B5EF4-FFF2-40B4-BE49-F238E27FC236}">
                <a16:creationId xmlns:a16="http://schemas.microsoft.com/office/drawing/2014/main" id="{AB62CA65-4AA5-4790-96C6-C457012AB302}"/>
              </a:ext>
            </a:extLst>
          </xdr:cNvPr>
          <xdr:cNvGrpSpPr/>
        </xdr:nvGrpSpPr>
        <xdr:grpSpPr>
          <a:xfrm>
            <a:off x="3676648" y="4210049"/>
            <a:ext cx="2057400" cy="838200"/>
            <a:chOff x="3233453" y="2232025"/>
            <a:chExt cx="2901219" cy="922867"/>
          </a:xfrm>
        </xdr:grpSpPr>
        <xdr:sp macro="" textlink="">
          <xdr:nvSpPr>
            <xdr:cNvPr id="241" name="직사각형 240">
              <a:extLst>
                <a:ext uri="{FF2B5EF4-FFF2-40B4-BE49-F238E27FC236}">
                  <a16:creationId xmlns:a16="http://schemas.microsoft.com/office/drawing/2014/main" id="{A00325EE-A336-4192-BFF4-4EDED268F8D9}"/>
                </a:ext>
              </a:extLst>
            </xdr:cNvPr>
            <xdr:cNvSpPr/>
          </xdr:nvSpPr>
          <xdr:spPr>
            <a:xfrm>
              <a:off x="3233453" y="2462739"/>
              <a:ext cx="2901219" cy="692153"/>
            </a:xfrm>
            <a:prstGeom prst="rect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endParaRPr lang="ko-KR" altLang="en-US" sz="1200"/>
            </a:p>
          </xdr:txBody>
        </xdr:sp>
        <xdr:sp macro="" textlink="">
          <xdr:nvSpPr>
            <xdr:cNvPr id="242" name="직사각형 241">
              <a:extLst>
                <a:ext uri="{FF2B5EF4-FFF2-40B4-BE49-F238E27FC236}">
                  <a16:creationId xmlns:a16="http://schemas.microsoft.com/office/drawing/2014/main" id="{F9E6A075-E2BD-4957-B5DB-09B3262AE072}"/>
                </a:ext>
              </a:extLst>
            </xdr:cNvPr>
            <xdr:cNvSpPr/>
          </xdr:nvSpPr>
          <xdr:spPr>
            <a:xfrm>
              <a:off x="3233454" y="2232025"/>
              <a:ext cx="967072" cy="230717"/>
            </a:xfrm>
            <a:prstGeom prst="rect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200"/>
                <a:t>TRUE</a:t>
              </a:r>
              <a:endParaRPr lang="ko-KR" altLang="en-US" sz="1200"/>
            </a:p>
          </xdr:txBody>
        </xdr:sp>
      </xdr:grpSp>
      <xdr:grpSp>
        <xdr:nvGrpSpPr>
          <xdr:cNvPr id="238" name="그룹 237">
            <a:extLst>
              <a:ext uri="{FF2B5EF4-FFF2-40B4-BE49-F238E27FC236}">
                <a16:creationId xmlns:a16="http://schemas.microsoft.com/office/drawing/2014/main" id="{78A69E0E-CE2F-4589-979E-73D331D1222A}"/>
              </a:ext>
            </a:extLst>
          </xdr:cNvPr>
          <xdr:cNvGrpSpPr/>
        </xdr:nvGrpSpPr>
        <xdr:grpSpPr>
          <a:xfrm>
            <a:off x="8477248" y="4210048"/>
            <a:ext cx="2057400" cy="838201"/>
            <a:chOff x="8467724" y="2163424"/>
            <a:chExt cx="2057400" cy="922868"/>
          </a:xfrm>
        </xdr:grpSpPr>
        <xdr:sp macro="" textlink="">
          <xdr:nvSpPr>
            <xdr:cNvPr id="239" name="직사각형 238">
              <a:extLst>
                <a:ext uri="{FF2B5EF4-FFF2-40B4-BE49-F238E27FC236}">
                  <a16:creationId xmlns:a16="http://schemas.microsoft.com/office/drawing/2014/main" id="{D45EAA39-E225-4EDA-AC9D-1428DFDB31A5}"/>
                </a:ext>
              </a:extLst>
            </xdr:cNvPr>
            <xdr:cNvSpPr/>
          </xdr:nvSpPr>
          <xdr:spPr>
            <a:xfrm>
              <a:off x="8467724" y="2394142"/>
              <a:ext cx="2057400" cy="692150"/>
            </a:xfrm>
            <a:prstGeom prst="rect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endParaRPr lang="ko-KR" altLang="en-US" sz="1200"/>
            </a:p>
          </xdr:txBody>
        </xdr:sp>
        <xdr:sp macro="" textlink="">
          <xdr:nvSpPr>
            <xdr:cNvPr id="240" name="직사각형 239">
              <a:extLst>
                <a:ext uri="{FF2B5EF4-FFF2-40B4-BE49-F238E27FC236}">
                  <a16:creationId xmlns:a16="http://schemas.microsoft.com/office/drawing/2014/main" id="{AD5A9801-C1EE-4A90-BC89-5DC622E99E5B}"/>
                </a:ext>
              </a:extLst>
            </xdr:cNvPr>
            <xdr:cNvSpPr/>
          </xdr:nvSpPr>
          <xdr:spPr>
            <a:xfrm>
              <a:off x="9839324" y="2163424"/>
              <a:ext cx="685800" cy="230718"/>
            </a:xfrm>
            <a:prstGeom prst="rect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200"/>
                <a:t>FALSE</a:t>
              </a:r>
              <a:endParaRPr lang="ko-KR" altLang="en-US" sz="1200"/>
            </a:p>
          </xdr:txBody>
        </xdr:sp>
      </xdr:grpSp>
    </xdr:grpSp>
    <xdr:clientData/>
  </xdr:twoCellAnchor>
  <xdr:twoCellAnchor editAs="absolute">
    <xdr:from>
      <xdr:col>0</xdr:col>
      <xdr:colOff>38100</xdr:colOff>
      <xdr:row>0</xdr:row>
      <xdr:rowOff>0</xdr:rowOff>
    </xdr:from>
    <xdr:to>
      <xdr:col>0</xdr:col>
      <xdr:colOff>238125</xdr:colOff>
      <xdr:row>1</xdr:row>
      <xdr:rowOff>0</xdr:rowOff>
    </xdr:to>
    <xdr:sp macro="[0]!시트이동_목차" textlink="">
      <xdr:nvSpPr>
        <xdr:cNvPr id="60" name="직사각형 59">
          <a:extLst>
            <a:ext uri="{FF2B5EF4-FFF2-40B4-BE49-F238E27FC236}">
              <a16:creationId xmlns:a16="http://schemas.microsoft.com/office/drawing/2014/main" id="{74F05CC1-F67C-4DC2-BF07-FD5D4736FB4C}"/>
            </a:ext>
          </a:extLst>
        </xdr:cNvPr>
        <xdr:cNvSpPr/>
      </xdr:nvSpPr>
      <xdr:spPr>
        <a:xfrm>
          <a:off x="38100" y="0"/>
          <a:ext cx="200025" cy="2095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9526</xdr:colOff>
      <xdr:row>28</xdr:row>
      <xdr:rowOff>9525</xdr:rowOff>
    </xdr:from>
    <xdr:to>
      <xdr:col>8</xdr:col>
      <xdr:colOff>19050</xdr:colOff>
      <xdr:row>36</xdr:row>
      <xdr:rowOff>161176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AD7DBEF9-E2C4-4DCA-AEF2-B5B77F2D94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7176" y="6067425"/>
          <a:ext cx="4810124" cy="1828051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0</xdr:col>
      <xdr:colOff>28575</xdr:colOff>
      <xdr:row>0</xdr:row>
      <xdr:rowOff>0</xdr:rowOff>
    </xdr:from>
    <xdr:to>
      <xdr:col>0</xdr:col>
      <xdr:colOff>228600</xdr:colOff>
      <xdr:row>1</xdr:row>
      <xdr:rowOff>0</xdr:rowOff>
    </xdr:to>
    <xdr:sp macro="[0]!시트이동_목차" textlink="">
      <xdr:nvSpPr>
        <xdr:cNvPr id="6" name="직사각형 5">
          <a:extLst>
            <a:ext uri="{FF2B5EF4-FFF2-40B4-BE49-F238E27FC236}">
              <a16:creationId xmlns:a16="http://schemas.microsoft.com/office/drawing/2014/main" id="{C0F839DB-A605-4447-946F-43A79A5AB0B4}"/>
            </a:ext>
          </a:extLst>
        </xdr:cNvPr>
        <xdr:cNvSpPr/>
      </xdr:nvSpPr>
      <xdr:spPr>
        <a:xfrm>
          <a:off x="28575" y="0"/>
          <a:ext cx="200025" cy="2095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1</xdr:col>
      <xdr:colOff>19050</xdr:colOff>
      <xdr:row>37</xdr:row>
      <xdr:rowOff>19050</xdr:rowOff>
    </xdr:from>
    <xdr:to>
      <xdr:col>8</xdr:col>
      <xdr:colOff>9525</xdr:colOff>
      <xdr:row>48</xdr:row>
      <xdr:rowOff>206173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D46F9E1A-814F-40E0-A595-4CFF63F2BE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" y="7962900"/>
          <a:ext cx="4791075" cy="2492173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oneCell">
    <xdr:from>
      <xdr:col>1</xdr:col>
      <xdr:colOff>0</xdr:colOff>
      <xdr:row>1</xdr:row>
      <xdr:rowOff>38100</xdr:rowOff>
    </xdr:from>
    <xdr:to>
      <xdr:col>8</xdr:col>
      <xdr:colOff>38100</xdr:colOff>
      <xdr:row>27</xdr:row>
      <xdr:rowOff>123825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2CB9E74F-6FE4-409E-93CB-0E3CDE4014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7650" y="247650"/>
          <a:ext cx="4838700" cy="5724525"/>
        </a:xfrm>
        <a:prstGeom prst="rect">
          <a:avLst/>
        </a:prstGeom>
        <a:solidFill>
          <a:schemeClr val="bg1"/>
        </a:solidFill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1</xdr:row>
      <xdr:rowOff>0</xdr:rowOff>
    </xdr:from>
    <xdr:to>
      <xdr:col>8</xdr:col>
      <xdr:colOff>142875</xdr:colOff>
      <xdr:row>12</xdr:row>
      <xdr:rowOff>9525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5063E819-C611-4470-9F6B-EC33E8AB14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7175" y="209550"/>
          <a:ext cx="4486275" cy="3590925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0</xdr:col>
      <xdr:colOff>28575</xdr:colOff>
      <xdr:row>0</xdr:row>
      <xdr:rowOff>0</xdr:rowOff>
    </xdr:from>
    <xdr:to>
      <xdr:col>0</xdr:col>
      <xdr:colOff>228600</xdr:colOff>
      <xdr:row>1</xdr:row>
      <xdr:rowOff>0</xdr:rowOff>
    </xdr:to>
    <xdr:sp macro="[0]!시트이동_목차" textlink="">
      <xdr:nvSpPr>
        <xdr:cNvPr id="4" name="직사각형 3">
          <a:extLst>
            <a:ext uri="{FF2B5EF4-FFF2-40B4-BE49-F238E27FC236}">
              <a16:creationId xmlns:a16="http://schemas.microsoft.com/office/drawing/2014/main" id="{05B03C98-891E-4777-A3FA-C811604EAE8E}"/>
            </a:ext>
          </a:extLst>
        </xdr:cNvPr>
        <xdr:cNvSpPr/>
      </xdr:nvSpPr>
      <xdr:spPr>
        <a:xfrm>
          <a:off x="28575" y="0"/>
          <a:ext cx="200025" cy="2095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47625</xdr:colOff>
      <xdr:row>0</xdr:row>
      <xdr:rowOff>0</xdr:rowOff>
    </xdr:from>
    <xdr:to>
      <xdr:col>1</xdr:col>
      <xdr:colOff>0</xdr:colOff>
      <xdr:row>1</xdr:row>
      <xdr:rowOff>0</xdr:rowOff>
    </xdr:to>
    <xdr:sp macro="[0]!시트이동_목차" textlink="">
      <xdr:nvSpPr>
        <xdr:cNvPr id="3" name="직사각형 2">
          <a:extLst>
            <a:ext uri="{FF2B5EF4-FFF2-40B4-BE49-F238E27FC236}">
              <a16:creationId xmlns:a16="http://schemas.microsoft.com/office/drawing/2014/main" id="{560F4B26-EFD6-4E66-B1E4-509EAB84E006}"/>
            </a:ext>
          </a:extLst>
        </xdr:cNvPr>
        <xdr:cNvSpPr/>
      </xdr:nvSpPr>
      <xdr:spPr>
        <a:xfrm>
          <a:off x="47625" y="0"/>
          <a:ext cx="200025" cy="2095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1</xdr:col>
      <xdr:colOff>47625</xdr:colOff>
      <xdr:row>1</xdr:row>
      <xdr:rowOff>0</xdr:rowOff>
    </xdr:from>
    <xdr:to>
      <xdr:col>8</xdr:col>
      <xdr:colOff>266700</xdr:colOff>
      <xdr:row>11</xdr:row>
      <xdr:rowOff>200025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C50C9C31-F7F8-4CBA-BF2E-BFCEBDC35D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5275" y="209550"/>
          <a:ext cx="5019675" cy="2962275"/>
        </a:xfrm>
        <a:prstGeom prst="rect">
          <a:avLst/>
        </a:prstGeom>
        <a:solidFill>
          <a:schemeClr val="bg1"/>
        </a:solidFill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428625</xdr:colOff>
      <xdr:row>11</xdr:row>
      <xdr:rowOff>190500</xdr:rowOff>
    </xdr:from>
    <xdr:to>
      <xdr:col>10</xdr:col>
      <xdr:colOff>133350</xdr:colOff>
      <xdr:row>14</xdr:row>
      <xdr:rowOff>47625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BACB4D11-4A7C-4442-9468-8BC09B5008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8625" y="3448050"/>
          <a:ext cx="7315200" cy="485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600075</xdr:colOff>
      <xdr:row>11</xdr:row>
      <xdr:rowOff>152400</xdr:rowOff>
    </xdr:from>
    <xdr:to>
      <xdr:col>2</xdr:col>
      <xdr:colOff>742950</xdr:colOff>
      <xdr:row>12</xdr:row>
      <xdr:rowOff>190500</xdr:rowOff>
    </xdr:to>
    <xdr:sp macro="" textlink="">
      <xdr:nvSpPr>
        <xdr:cNvPr id="3" name="화살표: 아래쪽 2">
          <a:extLst>
            <a:ext uri="{FF2B5EF4-FFF2-40B4-BE49-F238E27FC236}">
              <a16:creationId xmlns:a16="http://schemas.microsoft.com/office/drawing/2014/main" id="{52016BE9-40F0-4624-AFB2-9F50057BA9A0}"/>
            </a:ext>
          </a:extLst>
        </xdr:cNvPr>
        <xdr:cNvSpPr/>
      </xdr:nvSpPr>
      <xdr:spPr>
        <a:xfrm>
          <a:off x="2724150" y="3409950"/>
          <a:ext cx="142875" cy="247650"/>
        </a:xfrm>
        <a:prstGeom prst="downArrow">
          <a:avLst>
            <a:gd name="adj1" fmla="val 21084"/>
            <a:gd name="adj2" fmla="val 64458"/>
          </a:avLst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200025</xdr:colOff>
      <xdr:row>1</xdr:row>
      <xdr:rowOff>0</xdr:rowOff>
    </xdr:to>
    <xdr:sp macro="[0]!시트이동_목차" textlink="">
      <xdr:nvSpPr>
        <xdr:cNvPr id="5" name="직사각형 4">
          <a:extLst>
            <a:ext uri="{FF2B5EF4-FFF2-40B4-BE49-F238E27FC236}">
              <a16:creationId xmlns:a16="http://schemas.microsoft.com/office/drawing/2014/main" id="{FA52C13D-B51E-4251-99F8-D91FBAE02D78}"/>
            </a:ext>
          </a:extLst>
        </xdr:cNvPr>
        <xdr:cNvSpPr/>
      </xdr:nvSpPr>
      <xdr:spPr>
        <a:xfrm>
          <a:off x="0" y="0"/>
          <a:ext cx="200025" cy="2095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200025</xdr:colOff>
      <xdr:row>1</xdr:row>
      <xdr:rowOff>0</xdr:rowOff>
    </xdr:to>
    <xdr:sp macro="[0]!시트이동_목차" textlink="">
      <xdr:nvSpPr>
        <xdr:cNvPr id="3" name="직사각형 2">
          <a:extLst>
            <a:ext uri="{FF2B5EF4-FFF2-40B4-BE49-F238E27FC236}">
              <a16:creationId xmlns:a16="http://schemas.microsoft.com/office/drawing/2014/main" id="{FB5CF74C-D630-4949-9458-61BB2D5E32B1}"/>
            </a:ext>
          </a:extLst>
        </xdr:cNvPr>
        <xdr:cNvSpPr/>
      </xdr:nvSpPr>
      <xdr:spPr>
        <a:xfrm>
          <a:off x="0" y="0"/>
          <a:ext cx="200025" cy="2095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200025</xdr:colOff>
      <xdr:row>0</xdr:row>
      <xdr:rowOff>209550</xdr:rowOff>
    </xdr:to>
    <xdr:sp macro="[0]!시트이동_목차" textlink="">
      <xdr:nvSpPr>
        <xdr:cNvPr id="3" name="직사각형 2">
          <a:extLst>
            <a:ext uri="{FF2B5EF4-FFF2-40B4-BE49-F238E27FC236}">
              <a16:creationId xmlns:a16="http://schemas.microsoft.com/office/drawing/2014/main" id="{A4C9193D-000B-4498-9396-7E3D6C4CF1FD}"/>
            </a:ext>
          </a:extLst>
        </xdr:cNvPr>
        <xdr:cNvSpPr/>
      </xdr:nvSpPr>
      <xdr:spPr>
        <a:xfrm>
          <a:off x="0" y="0"/>
          <a:ext cx="200025" cy="2095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1</xdr:col>
      <xdr:colOff>104776</xdr:colOff>
      <xdr:row>13</xdr:row>
      <xdr:rowOff>114300</xdr:rowOff>
    </xdr:from>
    <xdr:to>
      <xdr:col>6</xdr:col>
      <xdr:colOff>57150</xdr:colOff>
      <xdr:row>22</xdr:row>
      <xdr:rowOff>118330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8456B578-D7D1-448C-B426-8DFBAF18D2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1" y="2847975"/>
          <a:ext cx="2905124" cy="1899505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</xdr:pic>
    <xdr:clientData/>
  </xdr:twoCellAnchor>
  <xdr:twoCellAnchor>
    <xdr:from>
      <xdr:col>14</xdr:col>
      <xdr:colOff>247650</xdr:colOff>
      <xdr:row>11</xdr:row>
      <xdr:rowOff>28574</xdr:rowOff>
    </xdr:from>
    <xdr:to>
      <xdr:col>16</xdr:col>
      <xdr:colOff>533399</xdr:colOff>
      <xdr:row>13</xdr:row>
      <xdr:rowOff>190499</xdr:rowOff>
    </xdr:to>
    <xdr:sp macro="" textlink="">
      <xdr:nvSpPr>
        <xdr:cNvPr id="2" name="말풍선: 사각형 1">
          <a:extLst>
            <a:ext uri="{FF2B5EF4-FFF2-40B4-BE49-F238E27FC236}">
              <a16:creationId xmlns:a16="http://schemas.microsoft.com/office/drawing/2014/main" id="{01DFD75C-DE27-44B6-BE4F-B78270B0F655}"/>
            </a:ext>
          </a:extLst>
        </xdr:cNvPr>
        <xdr:cNvSpPr/>
      </xdr:nvSpPr>
      <xdr:spPr>
        <a:xfrm>
          <a:off x="7429500" y="2457449"/>
          <a:ext cx="1371599" cy="581025"/>
        </a:xfrm>
        <a:prstGeom prst="wedgeRectCallout">
          <a:avLst>
            <a:gd name="adj1" fmla="val 59271"/>
            <a:gd name="adj2" fmla="val -7446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ko-KR" altLang="en-US" sz="1100"/>
            <a:t>공급가액필드를 </a:t>
          </a:r>
          <a:endParaRPr lang="en-US" altLang="ko-KR" sz="1100"/>
        </a:p>
        <a:p>
          <a:pPr algn="ctr"/>
          <a:r>
            <a:rPr lang="ko-KR" altLang="en-US" sz="1100"/>
            <a:t>범위로 하여 측정 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200025</xdr:colOff>
      <xdr:row>1</xdr:row>
      <xdr:rowOff>0</xdr:rowOff>
    </xdr:to>
    <xdr:sp macro="[0]!시트이동_목차" textlink="">
      <xdr:nvSpPr>
        <xdr:cNvPr id="3" name="직사각형 2">
          <a:extLst>
            <a:ext uri="{FF2B5EF4-FFF2-40B4-BE49-F238E27FC236}">
              <a16:creationId xmlns:a16="http://schemas.microsoft.com/office/drawing/2014/main" id="{628BE07B-B8A5-4F81-86D2-5FD10507034E}"/>
            </a:ext>
          </a:extLst>
        </xdr:cNvPr>
        <xdr:cNvSpPr/>
      </xdr:nvSpPr>
      <xdr:spPr>
        <a:xfrm>
          <a:off x="0" y="0"/>
          <a:ext cx="200025" cy="2095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1</xdr:col>
      <xdr:colOff>0</xdr:colOff>
      <xdr:row>0</xdr:row>
      <xdr:rowOff>66675</xdr:rowOff>
    </xdr:from>
    <xdr:to>
      <xdr:col>7</xdr:col>
      <xdr:colOff>152400</xdr:colOff>
      <xdr:row>19</xdr:row>
      <xdr:rowOff>180975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B4C42AC1-BF98-4102-B98F-0474E7CCEA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5" y="66675"/>
          <a:ext cx="3790950" cy="4095750"/>
        </a:xfrm>
        <a:prstGeom prst="rect">
          <a:avLst/>
        </a:prstGeom>
        <a:solidFill>
          <a:schemeClr val="bg1"/>
        </a:solidFill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[0]!시트이동_목차" textlink="">
      <xdr:nvSpPr>
        <xdr:cNvPr id="3" name="직사각형 2">
          <a:extLst>
            <a:ext uri="{FF2B5EF4-FFF2-40B4-BE49-F238E27FC236}">
              <a16:creationId xmlns:a16="http://schemas.microsoft.com/office/drawing/2014/main" id="{5DA1AE07-2695-4107-BD85-F3F81A3BE2B5}"/>
            </a:ext>
          </a:extLst>
        </xdr:cNvPr>
        <xdr:cNvSpPr/>
      </xdr:nvSpPr>
      <xdr:spPr>
        <a:xfrm>
          <a:off x="0" y="0"/>
          <a:ext cx="200025" cy="2095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9</xdr:row>
      <xdr:rowOff>123825</xdr:rowOff>
    </xdr:from>
    <xdr:to>
      <xdr:col>14</xdr:col>
      <xdr:colOff>314325</xdr:colOff>
      <xdr:row>12</xdr:row>
      <xdr:rowOff>171450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DD660E54-47F4-46F5-976A-36A19CD2347E}"/>
            </a:ext>
          </a:extLst>
        </xdr:cNvPr>
        <xdr:cNvSpPr txBox="1"/>
      </xdr:nvSpPr>
      <xdr:spPr>
        <a:xfrm>
          <a:off x="5715000" y="2009775"/>
          <a:ext cx="3657600" cy="676275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100">
              <a:latin typeface="+mj-ea"/>
              <a:ea typeface="+mj-ea"/>
            </a:rPr>
            <a:t>       (LAGRE</a:t>
          </a:r>
          <a:r>
            <a:rPr lang="ko-KR" altLang="en-US" sz="1100">
              <a:latin typeface="+mj-ea"/>
              <a:ea typeface="+mj-ea"/>
            </a:rPr>
            <a:t>이고 생산량이 </a:t>
          </a:r>
          <a:r>
            <a:rPr lang="en-US" altLang="ko-KR" sz="1100">
              <a:latin typeface="+mj-ea"/>
              <a:ea typeface="+mj-ea"/>
            </a:rPr>
            <a:t>100</a:t>
          </a:r>
          <a:r>
            <a:rPr lang="ko-KR" altLang="en-US" sz="1100">
              <a:latin typeface="+mj-ea"/>
              <a:ea typeface="+mj-ea"/>
            </a:rPr>
            <a:t>이상 </a:t>
          </a:r>
          <a:r>
            <a:rPr lang="en-US" altLang="ko-KR" sz="1100">
              <a:latin typeface="+mj-ea"/>
              <a:ea typeface="+mj-ea"/>
            </a:rPr>
            <a:t>150</a:t>
          </a:r>
          <a:r>
            <a:rPr lang="ko-KR" altLang="en-US" sz="1100">
              <a:latin typeface="+mj-ea"/>
              <a:ea typeface="+mj-ea"/>
            </a:rPr>
            <a:t>이하인 제품</a:t>
          </a:r>
          <a:r>
            <a:rPr lang="en-US" altLang="ko-KR" sz="1100">
              <a:latin typeface="+mj-ea"/>
              <a:ea typeface="+mj-ea"/>
            </a:rPr>
            <a:t>)</a:t>
          </a:r>
        </a:p>
        <a:p>
          <a:r>
            <a:rPr lang="ko-KR" altLang="en-US" sz="1100">
              <a:latin typeface="+mj-ea"/>
              <a:ea typeface="+mj-ea"/>
            </a:rPr>
            <a:t>또는 </a:t>
          </a:r>
          <a:r>
            <a:rPr lang="en-US" altLang="ko-KR" sz="1100">
              <a:latin typeface="+mj-ea"/>
              <a:ea typeface="+mj-ea"/>
            </a:rPr>
            <a:t>(SMALL</a:t>
          </a:r>
          <a:r>
            <a:rPr lang="ko-KR" altLang="ko-KR" sz="1100">
              <a:solidFill>
                <a:schemeClr val="dk1"/>
              </a:solidFill>
              <a:effectLst/>
              <a:latin typeface="+mj-ea"/>
              <a:ea typeface="+mj-ea"/>
              <a:cs typeface="+mn-cs"/>
            </a:rPr>
            <a:t>이고 생산량이 </a:t>
          </a:r>
          <a:r>
            <a:rPr lang="en-US" altLang="ko-KR" sz="1100">
              <a:solidFill>
                <a:schemeClr val="dk1"/>
              </a:solidFill>
              <a:effectLst/>
              <a:latin typeface="+mj-ea"/>
              <a:ea typeface="+mj-ea"/>
              <a:cs typeface="+mn-cs"/>
            </a:rPr>
            <a:t>100</a:t>
          </a:r>
          <a:r>
            <a:rPr lang="ko-KR" altLang="ko-KR" sz="1100">
              <a:solidFill>
                <a:schemeClr val="dk1"/>
              </a:solidFill>
              <a:effectLst/>
              <a:latin typeface="+mj-ea"/>
              <a:ea typeface="+mj-ea"/>
              <a:cs typeface="+mn-cs"/>
            </a:rPr>
            <a:t>이상 </a:t>
          </a:r>
          <a:r>
            <a:rPr lang="en-US" altLang="ko-KR" sz="1100">
              <a:solidFill>
                <a:schemeClr val="dk1"/>
              </a:solidFill>
              <a:effectLst/>
              <a:latin typeface="+mj-ea"/>
              <a:ea typeface="+mj-ea"/>
              <a:cs typeface="+mn-cs"/>
            </a:rPr>
            <a:t>150</a:t>
          </a:r>
          <a:r>
            <a:rPr lang="ko-KR" altLang="ko-KR" sz="1100">
              <a:solidFill>
                <a:schemeClr val="dk1"/>
              </a:solidFill>
              <a:effectLst/>
              <a:latin typeface="+mj-ea"/>
              <a:ea typeface="+mj-ea"/>
              <a:cs typeface="+mn-cs"/>
            </a:rPr>
            <a:t>이하인 제품</a:t>
          </a:r>
          <a:r>
            <a:rPr lang="en-US" altLang="ko-KR" sz="1100">
              <a:solidFill>
                <a:schemeClr val="dk1"/>
              </a:solidFill>
              <a:effectLst/>
              <a:latin typeface="+mj-ea"/>
              <a:ea typeface="+mj-ea"/>
              <a:cs typeface="+mn-cs"/>
            </a:rPr>
            <a:t>)</a:t>
          </a:r>
          <a:endParaRPr lang="ko-KR" altLang="en-US" sz="1100">
            <a:latin typeface="+mj-ea"/>
            <a:ea typeface="+mj-ea"/>
          </a:endParaRPr>
        </a:p>
      </xdr:txBody>
    </xdr:sp>
    <xdr:clientData/>
  </xdr:twoCellAnchor>
  <xdr:twoCellAnchor editAs="oneCell">
    <xdr:from>
      <xdr:col>6</xdr:col>
      <xdr:colOff>590550</xdr:colOff>
      <xdr:row>8</xdr:row>
      <xdr:rowOff>52495</xdr:rowOff>
    </xdr:from>
    <xdr:to>
      <xdr:col>13</xdr:col>
      <xdr:colOff>647700</xdr:colOff>
      <xdr:row>37</xdr:row>
      <xdr:rowOff>60200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20EA8901-DCFB-4DF7-855B-1C9E8B1944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62425" y="1728895"/>
          <a:ext cx="4857750" cy="6084655"/>
        </a:xfrm>
        <a:prstGeom prst="rect">
          <a:avLst/>
        </a:prstGeom>
        <a:solidFill>
          <a:schemeClr val="bg1"/>
        </a:solidFill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266700</xdr:colOff>
      <xdr:row>1</xdr:row>
      <xdr:rowOff>0</xdr:rowOff>
    </xdr:to>
    <xdr:sp macro="[0]!시트이동_목차" textlink="">
      <xdr:nvSpPr>
        <xdr:cNvPr id="3" name="직사각형 2">
          <a:extLst>
            <a:ext uri="{FF2B5EF4-FFF2-40B4-BE49-F238E27FC236}">
              <a16:creationId xmlns:a16="http://schemas.microsoft.com/office/drawing/2014/main" id="{8FD8A20D-528D-4698-BEA2-C4DB28D106F5}"/>
            </a:ext>
          </a:extLst>
        </xdr:cNvPr>
        <xdr:cNvSpPr/>
      </xdr:nvSpPr>
      <xdr:spPr>
        <a:xfrm>
          <a:off x="0" y="0"/>
          <a:ext cx="266700" cy="2095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7</xdr:col>
      <xdr:colOff>152400</xdr:colOff>
      <xdr:row>0</xdr:row>
      <xdr:rowOff>66675</xdr:rowOff>
    </xdr:from>
    <xdr:to>
      <xdr:col>14</xdr:col>
      <xdr:colOff>114300</xdr:colOff>
      <xdr:row>23</xdr:row>
      <xdr:rowOff>142875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336303FC-8EB5-4BBC-A8EC-569AC8BF8F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10125" y="66675"/>
          <a:ext cx="4762500" cy="4895850"/>
        </a:xfrm>
        <a:prstGeom prst="rect">
          <a:avLst/>
        </a:prstGeom>
        <a:solidFill>
          <a:schemeClr val="bg1"/>
        </a:solidFill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[0]!시트이동_목차" textlink="">
      <xdr:nvSpPr>
        <xdr:cNvPr id="2" name="직사각형 1">
          <a:extLst>
            <a:ext uri="{FF2B5EF4-FFF2-40B4-BE49-F238E27FC236}">
              <a16:creationId xmlns:a16="http://schemas.microsoft.com/office/drawing/2014/main" id="{AC90AFBB-CDA3-48C9-AE5F-A0D670970E1F}"/>
            </a:ext>
          </a:extLst>
        </xdr:cNvPr>
        <xdr:cNvSpPr/>
      </xdr:nvSpPr>
      <xdr:spPr>
        <a:xfrm>
          <a:off x="0" y="0"/>
          <a:ext cx="266700" cy="2095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0</xdr:col>
      <xdr:colOff>200025</xdr:colOff>
      <xdr:row>11</xdr:row>
      <xdr:rowOff>161925</xdr:rowOff>
    </xdr:from>
    <xdr:to>
      <xdr:col>8</xdr:col>
      <xdr:colOff>761339</xdr:colOff>
      <xdr:row>26</xdr:row>
      <xdr:rowOff>190104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14151993-2758-44C9-895F-6763CC316E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0025" y="2466975"/>
          <a:ext cx="5285714" cy="3171429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9</xdr:col>
      <xdr:colOff>76200</xdr:colOff>
      <xdr:row>11</xdr:row>
      <xdr:rowOff>123825</xdr:rowOff>
    </xdr:from>
    <xdr:to>
      <xdr:col>16</xdr:col>
      <xdr:colOff>332675</xdr:colOff>
      <xdr:row>26</xdr:row>
      <xdr:rowOff>161527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3EE06685-2C02-4028-B254-406A29CBF9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67375" y="2428875"/>
          <a:ext cx="5600000" cy="3180952"/>
        </a:xfrm>
        <a:prstGeom prst="rect">
          <a:avLst/>
        </a:prstGeom>
      </xdr:spPr>
    </xdr:pic>
    <xdr:clientData/>
  </xdr:twoCellAnchor>
  <xdr:twoCellAnchor>
    <xdr:from>
      <xdr:col>1</xdr:col>
      <xdr:colOff>285751</xdr:colOff>
      <xdr:row>14</xdr:row>
      <xdr:rowOff>76200</xdr:rowOff>
    </xdr:from>
    <xdr:to>
      <xdr:col>5</xdr:col>
      <xdr:colOff>47626</xdr:colOff>
      <xdr:row>16</xdr:row>
      <xdr:rowOff>200025</xdr:rowOff>
    </xdr:to>
    <xdr:sp macro="" textlink="">
      <xdr:nvSpPr>
        <xdr:cNvPr id="67" name="직사각형 66">
          <a:extLst>
            <a:ext uri="{FF2B5EF4-FFF2-40B4-BE49-F238E27FC236}">
              <a16:creationId xmlns:a16="http://schemas.microsoft.com/office/drawing/2014/main" id="{3C314A81-9E90-48F4-A032-D0890A313005}"/>
            </a:ext>
          </a:extLst>
        </xdr:cNvPr>
        <xdr:cNvSpPr/>
      </xdr:nvSpPr>
      <xdr:spPr>
        <a:xfrm>
          <a:off x="552451" y="3009900"/>
          <a:ext cx="2667000" cy="542925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295276</xdr:colOff>
      <xdr:row>16</xdr:row>
      <xdr:rowOff>180976</xdr:rowOff>
    </xdr:from>
    <xdr:to>
      <xdr:col>5</xdr:col>
      <xdr:colOff>57151</xdr:colOff>
      <xdr:row>18</xdr:row>
      <xdr:rowOff>28575</xdr:rowOff>
    </xdr:to>
    <xdr:sp macro="" textlink="">
      <xdr:nvSpPr>
        <xdr:cNvPr id="68" name="직사각형 67">
          <a:extLst>
            <a:ext uri="{FF2B5EF4-FFF2-40B4-BE49-F238E27FC236}">
              <a16:creationId xmlns:a16="http://schemas.microsoft.com/office/drawing/2014/main" id="{10A646A5-AF66-4570-8348-27B3D0CB3179}"/>
            </a:ext>
          </a:extLst>
        </xdr:cNvPr>
        <xdr:cNvSpPr/>
      </xdr:nvSpPr>
      <xdr:spPr>
        <a:xfrm>
          <a:off x="561976" y="3533776"/>
          <a:ext cx="2667000" cy="266699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390526</xdr:colOff>
      <xdr:row>1</xdr:row>
      <xdr:rowOff>38101</xdr:rowOff>
    </xdr:from>
    <xdr:to>
      <xdr:col>10</xdr:col>
      <xdr:colOff>485775</xdr:colOff>
      <xdr:row>2</xdr:row>
      <xdr:rowOff>171451</xdr:rowOff>
    </xdr:to>
    <xdr:sp macro="" textlink="">
      <xdr:nvSpPr>
        <xdr:cNvPr id="69" name="직사각형 68">
          <a:extLst>
            <a:ext uri="{FF2B5EF4-FFF2-40B4-BE49-F238E27FC236}">
              <a16:creationId xmlns:a16="http://schemas.microsoft.com/office/drawing/2014/main" id="{EF7C9F04-FC60-46D0-A4C0-8523EC1574BB}"/>
            </a:ext>
          </a:extLst>
        </xdr:cNvPr>
        <xdr:cNvSpPr/>
      </xdr:nvSpPr>
      <xdr:spPr>
        <a:xfrm>
          <a:off x="5981701" y="247651"/>
          <a:ext cx="962024" cy="342900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190502</xdr:colOff>
      <xdr:row>1</xdr:row>
      <xdr:rowOff>38101</xdr:rowOff>
    </xdr:from>
    <xdr:to>
      <xdr:col>9</xdr:col>
      <xdr:colOff>266700</xdr:colOff>
      <xdr:row>2</xdr:row>
      <xdr:rowOff>171451</xdr:rowOff>
    </xdr:to>
    <xdr:sp macro="" textlink="">
      <xdr:nvSpPr>
        <xdr:cNvPr id="70" name="직사각형 69">
          <a:extLst>
            <a:ext uri="{FF2B5EF4-FFF2-40B4-BE49-F238E27FC236}">
              <a16:creationId xmlns:a16="http://schemas.microsoft.com/office/drawing/2014/main" id="{F64085BD-C48D-4540-BB19-37AC3A2CF411}"/>
            </a:ext>
          </a:extLst>
        </xdr:cNvPr>
        <xdr:cNvSpPr/>
      </xdr:nvSpPr>
      <xdr:spPr>
        <a:xfrm>
          <a:off x="4914902" y="247651"/>
          <a:ext cx="942973" cy="342900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733426</xdr:colOff>
      <xdr:row>16</xdr:row>
      <xdr:rowOff>161925</xdr:rowOff>
    </xdr:from>
    <xdr:to>
      <xdr:col>13</xdr:col>
      <xdr:colOff>114301</xdr:colOff>
      <xdr:row>18</xdr:row>
      <xdr:rowOff>9525</xdr:rowOff>
    </xdr:to>
    <xdr:sp macro="" textlink="">
      <xdr:nvSpPr>
        <xdr:cNvPr id="71" name="직사각형 70">
          <a:extLst>
            <a:ext uri="{FF2B5EF4-FFF2-40B4-BE49-F238E27FC236}">
              <a16:creationId xmlns:a16="http://schemas.microsoft.com/office/drawing/2014/main" id="{34DA5C92-89E0-4970-B095-EEF2ED4F05DA}"/>
            </a:ext>
          </a:extLst>
        </xdr:cNvPr>
        <xdr:cNvSpPr/>
      </xdr:nvSpPr>
      <xdr:spPr>
        <a:xfrm>
          <a:off x="6324601" y="3514725"/>
          <a:ext cx="2667000" cy="266700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733426</xdr:colOff>
      <xdr:row>15</xdr:row>
      <xdr:rowOff>114300</xdr:rowOff>
    </xdr:from>
    <xdr:to>
      <xdr:col>13</xdr:col>
      <xdr:colOff>114301</xdr:colOff>
      <xdr:row>16</xdr:row>
      <xdr:rowOff>171450</xdr:rowOff>
    </xdr:to>
    <xdr:sp macro="" textlink="">
      <xdr:nvSpPr>
        <xdr:cNvPr id="72" name="직사각형 71">
          <a:extLst>
            <a:ext uri="{FF2B5EF4-FFF2-40B4-BE49-F238E27FC236}">
              <a16:creationId xmlns:a16="http://schemas.microsoft.com/office/drawing/2014/main" id="{B86C580C-969C-4462-A46B-7DC464C4B2D3}"/>
            </a:ext>
          </a:extLst>
        </xdr:cNvPr>
        <xdr:cNvSpPr/>
      </xdr:nvSpPr>
      <xdr:spPr>
        <a:xfrm>
          <a:off x="6324601" y="3257550"/>
          <a:ext cx="2667000" cy="266700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676276</xdr:colOff>
      <xdr:row>1</xdr:row>
      <xdr:rowOff>0</xdr:rowOff>
    </xdr:from>
    <xdr:to>
      <xdr:col>6</xdr:col>
      <xdr:colOff>28576</xdr:colOff>
      <xdr:row>11</xdr:row>
      <xdr:rowOff>19050</xdr:rowOff>
    </xdr:to>
    <xdr:sp macro="" textlink="">
      <xdr:nvSpPr>
        <xdr:cNvPr id="73" name="직사각형 72">
          <a:extLst>
            <a:ext uri="{FF2B5EF4-FFF2-40B4-BE49-F238E27FC236}">
              <a16:creationId xmlns:a16="http://schemas.microsoft.com/office/drawing/2014/main" id="{1EFBDFE5-8B38-4FEB-9EB1-BAF2558DA6B2}"/>
            </a:ext>
          </a:extLst>
        </xdr:cNvPr>
        <xdr:cNvSpPr/>
      </xdr:nvSpPr>
      <xdr:spPr>
        <a:xfrm>
          <a:off x="3162301" y="209550"/>
          <a:ext cx="723900" cy="2114550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9526</xdr:colOff>
      <xdr:row>1</xdr:row>
      <xdr:rowOff>0</xdr:rowOff>
    </xdr:from>
    <xdr:to>
      <xdr:col>4</xdr:col>
      <xdr:colOff>666750</xdr:colOff>
      <xdr:row>11</xdr:row>
      <xdr:rowOff>19050</xdr:rowOff>
    </xdr:to>
    <xdr:sp macro="" textlink="">
      <xdr:nvSpPr>
        <xdr:cNvPr id="74" name="직사각형 73">
          <a:extLst>
            <a:ext uri="{FF2B5EF4-FFF2-40B4-BE49-F238E27FC236}">
              <a16:creationId xmlns:a16="http://schemas.microsoft.com/office/drawing/2014/main" id="{B7CFEFC5-97CD-4CF2-955E-B01D18DA0D33}"/>
            </a:ext>
          </a:extLst>
        </xdr:cNvPr>
        <xdr:cNvSpPr/>
      </xdr:nvSpPr>
      <xdr:spPr>
        <a:xfrm>
          <a:off x="2495551" y="209550"/>
          <a:ext cx="657224" cy="2114550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[0]!시트이동_목차" textlink="">
      <xdr:nvSpPr>
        <xdr:cNvPr id="2" name="직사각형 1">
          <a:extLst>
            <a:ext uri="{FF2B5EF4-FFF2-40B4-BE49-F238E27FC236}">
              <a16:creationId xmlns:a16="http://schemas.microsoft.com/office/drawing/2014/main" id="{61B76CE0-35EF-4E76-80CF-C7AAFB64FF0A}"/>
            </a:ext>
          </a:extLst>
        </xdr:cNvPr>
        <xdr:cNvSpPr/>
      </xdr:nvSpPr>
      <xdr:spPr>
        <a:xfrm>
          <a:off x="0" y="0"/>
          <a:ext cx="266700" cy="2095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9</xdr:col>
      <xdr:colOff>333375</xdr:colOff>
      <xdr:row>0</xdr:row>
      <xdr:rowOff>200025</xdr:rowOff>
    </xdr:from>
    <xdr:to>
      <xdr:col>15</xdr:col>
      <xdr:colOff>209550</xdr:colOff>
      <xdr:row>12</xdr:row>
      <xdr:rowOff>76200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AF5E4B6B-0A7B-462D-9E11-DBE6DB0DF7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95850" y="200025"/>
          <a:ext cx="3990975" cy="2390775"/>
        </a:xfrm>
        <a:prstGeom prst="rect">
          <a:avLst/>
        </a:prstGeom>
        <a:solidFill>
          <a:schemeClr val="bg1"/>
        </a:solidFill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161925</xdr:colOff>
      <xdr:row>1</xdr:row>
      <xdr:rowOff>9525</xdr:rowOff>
    </xdr:from>
    <xdr:to>
      <xdr:col>6</xdr:col>
      <xdr:colOff>333375</xdr:colOff>
      <xdr:row>29</xdr:row>
      <xdr:rowOff>19050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50B14678-4F5D-4D82-A460-630E09FB6F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8150" y="219075"/>
          <a:ext cx="5219700" cy="7334250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266700</xdr:colOff>
      <xdr:row>1</xdr:row>
      <xdr:rowOff>0</xdr:rowOff>
    </xdr:to>
    <xdr:sp macro="[0]!시트이동_목차" textlink="">
      <xdr:nvSpPr>
        <xdr:cNvPr id="5" name="직사각형 4">
          <a:extLst>
            <a:ext uri="{FF2B5EF4-FFF2-40B4-BE49-F238E27FC236}">
              <a16:creationId xmlns:a16="http://schemas.microsoft.com/office/drawing/2014/main" id="{5C57E339-51EF-45B8-907E-779C9F10A181}"/>
            </a:ext>
          </a:extLst>
        </xdr:cNvPr>
        <xdr:cNvSpPr/>
      </xdr:nvSpPr>
      <xdr:spPr>
        <a:xfrm>
          <a:off x="0" y="0"/>
          <a:ext cx="266700" cy="2095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685799</xdr:colOff>
      <xdr:row>34</xdr:row>
      <xdr:rowOff>200025</xdr:rowOff>
    </xdr:from>
    <xdr:to>
      <xdr:col>26</xdr:col>
      <xdr:colOff>400049</xdr:colOff>
      <xdr:row>38</xdr:row>
      <xdr:rowOff>66675</xdr:rowOff>
    </xdr:to>
    <xdr:sp macro="" textlink="">
      <xdr:nvSpPr>
        <xdr:cNvPr id="2" name="말풍선: 사각형 1">
          <a:extLst>
            <a:ext uri="{FF2B5EF4-FFF2-40B4-BE49-F238E27FC236}">
              <a16:creationId xmlns:a16="http://schemas.microsoft.com/office/drawing/2014/main" id="{D53FEB12-9866-4198-9F96-898FD09052C4}"/>
            </a:ext>
          </a:extLst>
        </xdr:cNvPr>
        <xdr:cNvSpPr/>
      </xdr:nvSpPr>
      <xdr:spPr>
        <a:xfrm>
          <a:off x="8524874" y="7343775"/>
          <a:ext cx="2409825" cy="704850"/>
        </a:xfrm>
        <a:prstGeom prst="wedgeRectCallout">
          <a:avLst>
            <a:gd name="adj1" fmla="val -86302"/>
            <a:gd name="adj2" fmla="val -6787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DATE</a:t>
          </a:r>
          <a:r>
            <a:rPr lang="ko-KR" altLang="en-US" sz="1100"/>
            <a:t>함수</a:t>
          </a:r>
          <a:r>
            <a:rPr lang="en-US" altLang="ko-KR" sz="1100"/>
            <a:t>-</a:t>
          </a:r>
          <a:r>
            <a:rPr lang="ko-KR" altLang="en-US" sz="1100"/>
            <a:t>셀서식조합과 조건부서식의 </a:t>
          </a:r>
          <a:r>
            <a:rPr lang="en-US" altLang="ko-KR" sz="1100"/>
            <a:t>WEEKDAY</a:t>
          </a:r>
          <a:r>
            <a:rPr lang="ko-KR" altLang="en-US" sz="1100"/>
            <a:t>함수적용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266700</xdr:colOff>
      <xdr:row>0</xdr:row>
      <xdr:rowOff>209550</xdr:rowOff>
    </xdr:to>
    <xdr:sp macro="[0]!시트이동_목차" textlink="">
      <xdr:nvSpPr>
        <xdr:cNvPr id="4" name="직사각형 3">
          <a:extLst>
            <a:ext uri="{FF2B5EF4-FFF2-40B4-BE49-F238E27FC236}">
              <a16:creationId xmlns:a16="http://schemas.microsoft.com/office/drawing/2014/main" id="{B654789D-1468-4370-B7F2-FB38A0BFDE85}"/>
            </a:ext>
          </a:extLst>
        </xdr:cNvPr>
        <xdr:cNvSpPr/>
      </xdr:nvSpPr>
      <xdr:spPr>
        <a:xfrm>
          <a:off x="0" y="0"/>
          <a:ext cx="266700" cy="2095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266700</xdr:colOff>
      <xdr:row>1</xdr:row>
      <xdr:rowOff>0</xdr:rowOff>
    </xdr:to>
    <xdr:sp macro="[0]!시트이동_목차" textlink="">
      <xdr:nvSpPr>
        <xdr:cNvPr id="2" name="직사각형 1">
          <a:extLst>
            <a:ext uri="{FF2B5EF4-FFF2-40B4-BE49-F238E27FC236}">
              <a16:creationId xmlns:a16="http://schemas.microsoft.com/office/drawing/2014/main" id="{74962423-EABA-4C6B-A307-80C19C4682DC}"/>
            </a:ext>
          </a:extLst>
        </xdr:cNvPr>
        <xdr:cNvSpPr/>
      </xdr:nvSpPr>
      <xdr:spPr>
        <a:xfrm>
          <a:off x="0" y="0"/>
          <a:ext cx="266700" cy="2095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7</xdr:col>
      <xdr:colOff>47625</xdr:colOff>
      <xdr:row>0</xdr:row>
      <xdr:rowOff>400050</xdr:rowOff>
    </xdr:from>
    <xdr:to>
      <xdr:col>16</xdr:col>
      <xdr:colOff>390525</xdr:colOff>
      <xdr:row>19</xdr:row>
      <xdr:rowOff>200025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47A7F1EA-7ABF-4CE7-9BC7-9A400EC19A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29325" y="400050"/>
          <a:ext cx="5581650" cy="4543425"/>
        </a:xfrm>
        <a:prstGeom prst="rect">
          <a:avLst/>
        </a:prstGeom>
        <a:solidFill>
          <a:schemeClr val="bg1"/>
        </a:solidFill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19048</xdr:colOff>
      <xdr:row>2</xdr:row>
      <xdr:rowOff>114300</xdr:rowOff>
    </xdr:from>
    <xdr:to>
      <xdr:col>3</xdr:col>
      <xdr:colOff>561975</xdr:colOff>
      <xdr:row>5</xdr:row>
      <xdr:rowOff>295275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FB7413FA-B54D-4FF5-91F9-F0A17231BDE0}"/>
            </a:ext>
          </a:extLst>
        </xdr:cNvPr>
        <xdr:cNvSpPr/>
      </xdr:nvSpPr>
      <xdr:spPr>
        <a:xfrm>
          <a:off x="285748" y="666750"/>
          <a:ext cx="2695577" cy="12096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600"/>
            <a:t>1</a:t>
          </a:r>
          <a:r>
            <a:rPr lang="ko-KR" altLang="en-US" sz="1600"/>
            <a:t>단계</a:t>
          </a:r>
          <a:endParaRPr lang="en-US" altLang="ko-KR" sz="1600"/>
        </a:p>
        <a:p>
          <a:pPr algn="l"/>
          <a:r>
            <a:rPr lang="ko-KR" altLang="en-US" sz="1600"/>
            <a:t>기준날짜에 석달을 더한다</a:t>
          </a:r>
          <a:r>
            <a:rPr lang="en-US" altLang="ko-KR" sz="1600"/>
            <a:t>.</a:t>
          </a:r>
        </a:p>
        <a:p>
          <a:pPr algn="l"/>
          <a:r>
            <a:rPr lang="en-US" altLang="ko-KR" sz="1600"/>
            <a:t>2020-4-10</a:t>
          </a:r>
          <a:endParaRPr lang="ko-KR" altLang="en-US" sz="1600"/>
        </a:p>
      </xdr:txBody>
    </xdr:sp>
    <xdr:clientData/>
  </xdr:twoCellAnchor>
  <xdr:twoCellAnchor>
    <xdr:from>
      <xdr:col>1</xdr:col>
      <xdr:colOff>333376</xdr:colOff>
      <xdr:row>11</xdr:row>
      <xdr:rowOff>114300</xdr:rowOff>
    </xdr:from>
    <xdr:to>
      <xdr:col>3</xdr:col>
      <xdr:colOff>1038226</xdr:colOff>
      <xdr:row>12</xdr:row>
      <xdr:rowOff>266700</xdr:rowOff>
    </xdr:to>
    <xdr:sp macro="" textlink="">
      <xdr:nvSpPr>
        <xdr:cNvPr id="4" name="말풍선: 사각형 3">
          <a:extLst>
            <a:ext uri="{FF2B5EF4-FFF2-40B4-BE49-F238E27FC236}">
              <a16:creationId xmlns:a16="http://schemas.microsoft.com/office/drawing/2014/main" id="{D3A84BB1-6B58-4F12-A3A2-53E32052B060}"/>
            </a:ext>
          </a:extLst>
        </xdr:cNvPr>
        <xdr:cNvSpPr/>
      </xdr:nvSpPr>
      <xdr:spPr>
        <a:xfrm>
          <a:off x="600076" y="3752850"/>
          <a:ext cx="2857500" cy="495300"/>
        </a:xfrm>
        <a:prstGeom prst="wedgeRectCallout">
          <a:avLst>
            <a:gd name="adj1" fmla="val -54658"/>
            <a:gd name="adj2" fmla="val -72664"/>
          </a:avLst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2800">
              <a:solidFill>
                <a:schemeClr val="tx1"/>
              </a:solidFill>
            </a:rPr>
            <a:t>=EOMONTH(B2,3)</a:t>
          </a:r>
          <a:endParaRPr lang="ko-KR" altLang="en-US" sz="28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19048</xdr:colOff>
      <xdr:row>6</xdr:row>
      <xdr:rowOff>57150</xdr:rowOff>
    </xdr:from>
    <xdr:to>
      <xdr:col>3</xdr:col>
      <xdr:colOff>828675</xdr:colOff>
      <xdr:row>9</xdr:row>
      <xdr:rowOff>238125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E03DBCF9-D9D0-49BE-B058-61C8A9AE6867}"/>
            </a:ext>
          </a:extLst>
        </xdr:cNvPr>
        <xdr:cNvSpPr/>
      </xdr:nvSpPr>
      <xdr:spPr>
        <a:xfrm>
          <a:off x="285748" y="1981200"/>
          <a:ext cx="2962277" cy="12096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600"/>
            <a:t>2</a:t>
          </a:r>
          <a:r>
            <a:rPr lang="ko-KR" altLang="en-US" sz="1600"/>
            <a:t>단계</a:t>
          </a:r>
          <a:endParaRPr lang="en-US" altLang="ko-KR" sz="1600"/>
        </a:p>
        <a:p>
          <a:pPr algn="l"/>
          <a:r>
            <a:rPr lang="en-US" altLang="ko-KR" sz="1600"/>
            <a:t>1</a:t>
          </a:r>
          <a:r>
            <a:rPr lang="ko-KR" altLang="en-US" sz="1600"/>
            <a:t>단계에서 구한 달의 마지막날</a:t>
          </a:r>
          <a:endParaRPr lang="en-US" altLang="ko-KR" sz="1600"/>
        </a:p>
        <a:p>
          <a:pPr algn="l"/>
          <a:r>
            <a:rPr lang="en-US" altLang="ko-KR" sz="1600"/>
            <a:t>2020-4-30</a:t>
          </a:r>
          <a:endParaRPr lang="ko-KR" altLang="en-US" sz="1600"/>
        </a:p>
      </xdr:txBody>
    </xdr:sp>
    <xdr:clientData/>
  </xdr:twoCellAnchor>
  <xdr:twoCellAnchor>
    <xdr:from>
      <xdr:col>3</xdr:col>
      <xdr:colOff>600076</xdr:colOff>
      <xdr:row>11</xdr:row>
      <xdr:rowOff>123825</xdr:rowOff>
    </xdr:from>
    <xdr:to>
      <xdr:col>3</xdr:col>
      <xdr:colOff>790576</xdr:colOff>
      <xdr:row>12</xdr:row>
      <xdr:rowOff>228600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BCCEB4AE-A158-475D-915F-DD0AF7E53A9A}"/>
            </a:ext>
          </a:extLst>
        </xdr:cNvPr>
        <xdr:cNvSpPr/>
      </xdr:nvSpPr>
      <xdr:spPr>
        <a:xfrm>
          <a:off x="3019426" y="3762375"/>
          <a:ext cx="190500" cy="447675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576263</xdr:colOff>
      <xdr:row>4</xdr:row>
      <xdr:rowOff>152400</xdr:rowOff>
    </xdr:from>
    <xdr:to>
      <xdr:col>3</xdr:col>
      <xdr:colOff>695326</xdr:colOff>
      <xdr:row>11</xdr:row>
      <xdr:rowOff>123825</xdr:rowOff>
    </xdr:to>
    <xdr:cxnSp macro="">
      <xdr:nvCxnSpPr>
        <xdr:cNvPr id="7" name="직선 화살표 연결선 6">
          <a:extLst>
            <a:ext uri="{FF2B5EF4-FFF2-40B4-BE49-F238E27FC236}">
              <a16:creationId xmlns:a16="http://schemas.microsoft.com/office/drawing/2014/main" id="{359DF8C1-78B9-491C-9B27-B1BA8685307E}"/>
            </a:ext>
          </a:extLst>
        </xdr:cNvPr>
        <xdr:cNvCxnSpPr>
          <a:stCxn id="6" idx="0"/>
          <a:endCxn id="8" idx="2"/>
        </xdr:cNvCxnSpPr>
      </xdr:nvCxnSpPr>
      <xdr:spPr>
        <a:xfrm flipH="1" flipV="1">
          <a:off x="1643063" y="1390650"/>
          <a:ext cx="1471613" cy="2371725"/>
        </a:xfrm>
        <a:prstGeom prst="straightConnector1">
          <a:avLst/>
        </a:prstGeom>
        <a:ln w="571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371475</xdr:colOff>
      <xdr:row>3</xdr:row>
      <xdr:rowOff>200025</xdr:rowOff>
    </xdr:from>
    <xdr:to>
      <xdr:col>2</xdr:col>
      <xdr:colOff>781050</xdr:colOff>
      <xdr:row>4</xdr:row>
      <xdr:rowOff>152400</xdr:rowOff>
    </xdr:to>
    <xdr:sp macro="" textlink="">
      <xdr:nvSpPr>
        <xdr:cNvPr id="8" name="직사각형 7">
          <a:extLst>
            <a:ext uri="{FF2B5EF4-FFF2-40B4-BE49-F238E27FC236}">
              <a16:creationId xmlns:a16="http://schemas.microsoft.com/office/drawing/2014/main" id="{96C59126-49EE-49A6-841C-655793567953}"/>
            </a:ext>
          </a:extLst>
        </xdr:cNvPr>
        <xdr:cNvSpPr/>
      </xdr:nvSpPr>
      <xdr:spPr>
        <a:xfrm>
          <a:off x="1438275" y="1095375"/>
          <a:ext cx="409575" cy="295275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3</xdr:col>
      <xdr:colOff>1228725</xdr:colOff>
      <xdr:row>0</xdr:row>
      <xdr:rowOff>200025</xdr:rowOff>
    </xdr:from>
    <xdr:to>
      <xdr:col>10</xdr:col>
      <xdr:colOff>274561</xdr:colOff>
      <xdr:row>10</xdr:row>
      <xdr:rowOff>304801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65C3DBBA-54C8-434D-A7E3-0C535D2275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48075" y="200025"/>
          <a:ext cx="7808836" cy="3400426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[0]!시트이동_목차" textlink="">
      <xdr:nvSpPr>
        <xdr:cNvPr id="10" name="직사각형 9">
          <a:extLst>
            <a:ext uri="{FF2B5EF4-FFF2-40B4-BE49-F238E27FC236}">
              <a16:creationId xmlns:a16="http://schemas.microsoft.com/office/drawing/2014/main" id="{68B79E44-A43F-42DA-948E-243FE37FAE14}"/>
            </a:ext>
          </a:extLst>
        </xdr:cNvPr>
        <xdr:cNvSpPr/>
      </xdr:nvSpPr>
      <xdr:spPr>
        <a:xfrm>
          <a:off x="0" y="0"/>
          <a:ext cx="266700" cy="2095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200025</xdr:rowOff>
    </xdr:from>
    <xdr:to>
      <xdr:col>7</xdr:col>
      <xdr:colOff>1238250</xdr:colOff>
      <xdr:row>15</xdr:row>
      <xdr:rowOff>171450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2D7AF975-1600-4A9C-B437-6433C91CE6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" y="200025"/>
          <a:ext cx="5353050" cy="4638675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266700</xdr:colOff>
      <xdr:row>1</xdr:row>
      <xdr:rowOff>0</xdr:rowOff>
    </xdr:to>
    <xdr:sp macro="[0]!시트이동_목차" textlink="">
      <xdr:nvSpPr>
        <xdr:cNvPr id="4" name="직사각형 3">
          <a:extLst>
            <a:ext uri="{FF2B5EF4-FFF2-40B4-BE49-F238E27FC236}">
              <a16:creationId xmlns:a16="http://schemas.microsoft.com/office/drawing/2014/main" id="{1E70E1FC-098C-45D7-98B8-80F2A5E512CB}"/>
            </a:ext>
          </a:extLst>
        </xdr:cNvPr>
        <xdr:cNvSpPr/>
      </xdr:nvSpPr>
      <xdr:spPr>
        <a:xfrm>
          <a:off x="0" y="0"/>
          <a:ext cx="266700" cy="2095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266700</xdr:colOff>
      <xdr:row>1</xdr:row>
      <xdr:rowOff>0</xdr:rowOff>
    </xdr:to>
    <xdr:sp macro="[0]!시트이동_목차" textlink="">
      <xdr:nvSpPr>
        <xdr:cNvPr id="2" name="직사각형 1">
          <a:extLst>
            <a:ext uri="{FF2B5EF4-FFF2-40B4-BE49-F238E27FC236}">
              <a16:creationId xmlns:a16="http://schemas.microsoft.com/office/drawing/2014/main" id="{A2578F5B-88AE-49FC-B80D-116B879D81FB}"/>
            </a:ext>
          </a:extLst>
        </xdr:cNvPr>
        <xdr:cNvSpPr/>
      </xdr:nvSpPr>
      <xdr:spPr>
        <a:xfrm>
          <a:off x="0" y="0"/>
          <a:ext cx="266700" cy="2095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1</xdr:col>
      <xdr:colOff>295275</xdr:colOff>
      <xdr:row>1</xdr:row>
      <xdr:rowOff>114300</xdr:rowOff>
    </xdr:from>
    <xdr:to>
      <xdr:col>7</xdr:col>
      <xdr:colOff>1143000</xdr:colOff>
      <xdr:row>24</xdr:row>
      <xdr:rowOff>133350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A657625A-798C-4667-B225-54179878DC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323850"/>
          <a:ext cx="5448300" cy="4953000"/>
        </a:xfrm>
        <a:prstGeom prst="rect">
          <a:avLst/>
        </a:prstGeom>
        <a:solidFill>
          <a:schemeClr val="bg1"/>
        </a:solidFill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106685</xdr:colOff>
      <xdr:row>0</xdr:row>
      <xdr:rowOff>209551</xdr:rowOff>
    </xdr:from>
    <xdr:to>
      <xdr:col>15</xdr:col>
      <xdr:colOff>9524</xdr:colOff>
      <xdr:row>20</xdr:row>
      <xdr:rowOff>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8FE5B535-291E-4856-AB35-15EA938463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40785" y="209551"/>
          <a:ext cx="5389239" cy="4019549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1</xdr:col>
      <xdr:colOff>0</xdr:colOff>
      <xdr:row>0</xdr:row>
      <xdr:rowOff>209550</xdr:rowOff>
    </xdr:to>
    <xdr:sp macro="[0]!시트이동_목차" textlink="">
      <xdr:nvSpPr>
        <xdr:cNvPr id="4" name="직사각형 3">
          <a:extLst>
            <a:ext uri="{FF2B5EF4-FFF2-40B4-BE49-F238E27FC236}">
              <a16:creationId xmlns:a16="http://schemas.microsoft.com/office/drawing/2014/main" id="{7CCFCCFC-4E1E-48AB-B79E-9EF770DFF236}"/>
            </a:ext>
          </a:extLst>
        </xdr:cNvPr>
        <xdr:cNvSpPr/>
      </xdr:nvSpPr>
      <xdr:spPr>
        <a:xfrm>
          <a:off x="0" y="0"/>
          <a:ext cx="266700" cy="2095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266700</xdr:colOff>
      <xdr:row>1</xdr:row>
      <xdr:rowOff>0</xdr:rowOff>
    </xdr:to>
    <xdr:sp macro="[0]!시트이동_목차" textlink="">
      <xdr:nvSpPr>
        <xdr:cNvPr id="2" name="직사각형 1">
          <a:extLst>
            <a:ext uri="{FF2B5EF4-FFF2-40B4-BE49-F238E27FC236}">
              <a16:creationId xmlns:a16="http://schemas.microsoft.com/office/drawing/2014/main" id="{D26AA0E6-A1BC-4B85-86FD-633D83014A03}"/>
            </a:ext>
          </a:extLst>
        </xdr:cNvPr>
        <xdr:cNvSpPr/>
      </xdr:nvSpPr>
      <xdr:spPr>
        <a:xfrm>
          <a:off x="0" y="0"/>
          <a:ext cx="266700" cy="2095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257175</xdr:colOff>
      <xdr:row>1</xdr:row>
      <xdr:rowOff>0</xdr:rowOff>
    </xdr:from>
    <xdr:to>
      <xdr:col>12</xdr:col>
      <xdr:colOff>485775</xdr:colOff>
      <xdr:row>5</xdr:row>
      <xdr:rowOff>295275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9C94423B-E385-4758-9E85-5BDB8CE4D1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48175" y="209550"/>
          <a:ext cx="5029200" cy="2124075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[0]!시트이동_목차" textlink="">
      <xdr:nvSpPr>
        <xdr:cNvPr id="4" name="직사각형 3">
          <a:extLst>
            <a:ext uri="{FF2B5EF4-FFF2-40B4-BE49-F238E27FC236}">
              <a16:creationId xmlns:a16="http://schemas.microsoft.com/office/drawing/2014/main" id="{16E4C878-EDD7-4186-87F4-10D2249068A2}"/>
            </a:ext>
          </a:extLst>
        </xdr:cNvPr>
        <xdr:cNvSpPr/>
      </xdr:nvSpPr>
      <xdr:spPr>
        <a:xfrm>
          <a:off x="0" y="0"/>
          <a:ext cx="266700" cy="2095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85725</xdr:colOff>
      <xdr:row>0</xdr:row>
      <xdr:rowOff>114300</xdr:rowOff>
    </xdr:from>
    <xdr:to>
      <xdr:col>18</xdr:col>
      <xdr:colOff>123825</xdr:colOff>
      <xdr:row>19</xdr:row>
      <xdr:rowOff>104775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F2F5B93A-7F22-4B2D-AFBA-B33B70CD50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48425" y="114300"/>
          <a:ext cx="6581775" cy="5019675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[0]!시트이동_목차" textlink="">
      <xdr:nvSpPr>
        <xdr:cNvPr id="4" name="직사각형 3">
          <a:extLst>
            <a:ext uri="{FF2B5EF4-FFF2-40B4-BE49-F238E27FC236}">
              <a16:creationId xmlns:a16="http://schemas.microsoft.com/office/drawing/2014/main" id="{FC7ABFFA-4ADF-444C-B7F1-3E8343C21A08}"/>
            </a:ext>
          </a:extLst>
        </xdr:cNvPr>
        <xdr:cNvSpPr/>
      </xdr:nvSpPr>
      <xdr:spPr>
        <a:xfrm>
          <a:off x="0" y="0"/>
          <a:ext cx="266700" cy="2095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200025</xdr:colOff>
      <xdr:row>0</xdr:row>
      <xdr:rowOff>57150</xdr:rowOff>
    </xdr:from>
    <xdr:to>
      <xdr:col>18</xdr:col>
      <xdr:colOff>438150</xdr:colOff>
      <xdr:row>23</xdr:row>
      <xdr:rowOff>104775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62D6364E-EB9D-447D-B95C-C9DA58CF6D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57150"/>
          <a:ext cx="5667375" cy="4676775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[0]!시트이동_목차" textlink="">
      <xdr:nvSpPr>
        <xdr:cNvPr id="4" name="직사각형 3">
          <a:extLst>
            <a:ext uri="{FF2B5EF4-FFF2-40B4-BE49-F238E27FC236}">
              <a16:creationId xmlns:a16="http://schemas.microsoft.com/office/drawing/2014/main" id="{FADA9353-0C81-48B5-8A14-D9F9BC696943}"/>
            </a:ext>
          </a:extLst>
        </xdr:cNvPr>
        <xdr:cNvSpPr/>
      </xdr:nvSpPr>
      <xdr:spPr>
        <a:xfrm>
          <a:off x="0" y="0"/>
          <a:ext cx="266700" cy="2095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266700</xdr:colOff>
      <xdr:row>1</xdr:row>
      <xdr:rowOff>0</xdr:rowOff>
    </xdr:to>
    <xdr:sp macro="[0]!시트이동_목차" textlink="">
      <xdr:nvSpPr>
        <xdr:cNvPr id="2" name="직사각형 1">
          <a:extLst>
            <a:ext uri="{FF2B5EF4-FFF2-40B4-BE49-F238E27FC236}">
              <a16:creationId xmlns:a16="http://schemas.microsoft.com/office/drawing/2014/main" id="{EE55F841-3331-4D3A-8A06-D12736E686EA}"/>
            </a:ext>
          </a:extLst>
        </xdr:cNvPr>
        <xdr:cNvSpPr/>
      </xdr:nvSpPr>
      <xdr:spPr>
        <a:xfrm>
          <a:off x="0" y="0"/>
          <a:ext cx="266700" cy="2095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266700</xdr:colOff>
      <xdr:row>1</xdr:row>
      <xdr:rowOff>0</xdr:rowOff>
    </xdr:to>
    <xdr:sp macro="[0]!시트이동_목차" textlink="">
      <xdr:nvSpPr>
        <xdr:cNvPr id="2" name="직사각형 1">
          <a:extLst>
            <a:ext uri="{FF2B5EF4-FFF2-40B4-BE49-F238E27FC236}">
              <a16:creationId xmlns:a16="http://schemas.microsoft.com/office/drawing/2014/main" id="{2AB0A4CD-540F-45EA-BBA7-3B23D56F3321}"/>
            </a:ext>
          </a:extLst>
        </xdr:cNvPr>
        <xdr:cNvSpPr/>
      </xdr:nvSpPr>
      <xdr:spPr>
        <a:xfrm>
          <a:off x="0" y="0"/>
          <a:ext cx="266700" cy="2095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8</xdr:col>
      <xdr:colOff>57150</xdr:colOff>
      <xdr:row>0</xdr:row>
      <xdr:rowOff>0</xdr:rowOff>
    </xdr:from>
    <xdr:to>
      <xdr:col>14</xdr:col>
      <xdr:colOff>561975</xdr:colOff>
      <xdr:row>21</xdr:row>
      <xdr:rowOff>171450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568E5C62-6234-4666-A7F8-DB040FF4DE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52900" y="0"/>
          <a:ext cx="4876800" cy="4819650"/>
        </a:xfrm>
        <a:prstGeom prst="rect">
          <a:avLst/>
        </a:prstGeom>
        <a:solidFill>
          <a:schemeClr val="bg1"/>
        </a:solidFill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[0]!시트이동_목차" textlink="">
      <xdr:nvSpPr>
        <xdr:cNvPr id="2" name="직사각형 1">
          <a:extLst>
            <a:ext uri="{FF2B5EF4-FFF2-40B4-BE49-F238E27FC236}">
              <a16:creationId xmlns:a16="http://schemas.microsoft.com/office/drawing/2014/main" id="{A2B1474E-B373-4E69-8290-6C2826B6B5D3}"/>
            </a:ext>
          </a:extLst>
        </xdr:cNvPr>
        <xdr:cNvSpPr/>
      </xdr:nvSpPr>
      <xdr:spPr>
        <a:xfrm>
          <a:off x="0" y="0"/>
          <a:ext cx="266700" cy="2095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6</xdr:col>
      <xdr:colOff>361949</xdr:colOff>
      <xdr:row>3</xdr:row>
      <xdr:rowOff>400050</xdr:rowOff>
    </xdr:from>
    <xdr:to>
      <xdr:col>12</xdr:col>
      <xdr:colOff>752474</xdr:colOff>
      <xdr:row>21</xdr:row>
      <xdr:rowOff>161925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FECE4BB7-1FFC-4085-98E1-39D3052F40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5149" y="962025"/>
          <a:ext cx="4876800" cy="5000625"/>
        </a:xfrm>
        <a:prstGeom prst="rect">
          <a:avLst/>
        </a:prstGeom>
        <a:solidFill>
          <a:schemeClr val="bg1"/>
        </a:solidFill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219075</xdr:colOff>
      <xdr:row>3</xdr:row>
      <xdr:rowOff>19050</xdr:rowOff>
    </xdr:from>
    <xdr:to>
      <xdr:col>19</xdr:col>
      <xdr:colOff>295275</xdr:colOff>
      <xdr:row>24</xdr:row>
      <xdr:rowOff>104775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5FDF5168-41F1-4BD0-978D-D4F342A341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53250" y="838200"/>
          <a:ext cx="4876800" cy="5000625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1</xdr:col>
      <xdr:colOff>19050</xdr:colOff>
      <xdr:row>1</xdr:row>
      <xdr:rowOff>0</xdr:rowOff>
    </xdr:to>
    <xdr:sp macro="[0]!시트이동_목차" textlink="">
      <xdr:nvSpPr>
        <xdr:cNvPr id="3" name="직사각형 2">
          <a:extLst>
            <a:ext uri="{FF2B5EF4-FFF2-40B4-BE49-F238E27FC236}">
              <a16:creationId xmlns:a16="http://schemas.microsoft.com/office/drawing/2014/main" id="{7ADB2C82-BD02-4501-B7D0-E342DD4C7409}"/>
            </a:ext>
          </a:extLst>
        </xdr:cNvPr>
        <xdr:cNvSpPr/>
      </xdr:nvSpPr>
      <xdr:spPr>
        <a:xfrm>
          <a:off x="0" y="0"/>
          <a:ext cx="266700" cy="2095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absoluteAnchor>
    <xdr:pos x="0" y="0"/>
    <xdr:ext cx="266700" cy="209550"/>
    <xdr:sp macro="[0]!시트이동_목차" textlink="">
      <xdr:nvSpPr>
        <xdr:cNvPr id="2" name="직사각형 1">
          <a:extLst>
            <a:ext uri="{FF2B5EF4-FFF2-40B4-BE49-F238E27FC236}">
              <a16:creationId xmlns:a16="http://schemas.microsoft.com/office/drawing/2014/main" id="{04921091-75D7-4D0E-9A34-650598D3C7E3}"/>
            </a:ext>
          </a:extLst>
        </xdr:cNvPr>
        <xdr:cNvSpPr/>
      </xdr:nvSpPr>
      <xdr:spPr>
        <a:xfrm>
          <a:off x="0" y="0"/>
          <a:ext cx="266700" cy="2095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absoluteAnchor>
  <xdr:oneCellAnchor>
    <xdr:from>
      <xdr:col>4</xdr:col>
      <xdr:colOff>142875</xdr:colOff>
      <xdr:row>0</xdr:row>
      <xdr:rowOff>95250</xdr:rowOff>
    </xdr:from>
    <xdr:ext cx="5324475" cy="1838325"/>
    <xdr:pic>
      <xdr:nvPicPr>
        <xdr:cNvPr id="3" name="그림 2">
          <a:extLst>
            <a:ext uri="{FF2B5EF4-FFF2-40B4-BE49-F238E27FC236}">
              <a16:creationId xmlns:a16="http://schemas.microsoft.com/office/drawing/2014/main" id="{3DBDEB4A-1F45-4355-B304-D7283DCBF6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57825" y="95250"/>
          <a:ext cx="5324475" cy="1838325"/>
        </a:xfrm>
        <a:prstGeom prst="rect">
          <a:avLst/>
        </a:prstGeom>
        <a:solidFill>
          <a:schemeClr val="bg1"/>
        </a:solidFill>
      </xdr:spPr>
    </xdr:pic>
    <xdr:clientData/>
  </xdr:one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0</xdr:colOff>
      <xdr:row>0</xdr:row>
      <xdr:rowOff>209550</xdr:rowOff>
    </xdr:to>
    <xdr:sp macro="[0]!시트이동_목차" textlink="">
      <xdr:nvSpPr>
        <xdr:cNvPr id="2" name="직사각형 1">
          <a:extLst>
            <a:ext uri="{FF2B5EF4-FFF2-40B4-BE49-F238E27FC236}">
              <a16:creationId xmlns:a16="http://schemas.microsoft.com/office/drawing/2014/main" id="{82E86388-DD7F-4F1B-AE71-181120ADBCF6}"/>
            </a:ext>
          </a:extLst>
        </xdr:cNvPr>
        <xdr:cNvSpPr/>
      </xdr:nvSpPr>
      <xdr:spPr>
        <a:xfrm>
          <a:off x="0" y="0"/>
          <a:ext cx="266700" cy="2095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7</xdr:col>
      <xdr:colOff>247650</xdr:colOff>
      <xdr:row>1</xdr:row>
      <xdr:rowOff>0</xdr:rowOff>
    </xdr:from>
    <xdr:to>
      <xdr:col>14</xdr:col>
      <xdr:colOff>428625</xdr:colOff>
      <xdr:row>7</xdr:row>
      <xdr:rowOff>200025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37DD80BD-F3C5-4114-BB69-D5ED035ED9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05475" y="238125"/>
          <a:ext cx="4981575" cy="1628775"/>
        </a:xfrm>
        <a:prstGeom prst="rect">
          <a:avLst/>
        </a:prstGeom>
        <a:solidFill>
          <a:schemeClr val="bg1"/>
        </a:solidFill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[0]!시트이동_목차" textlink="">
      <xdr:nvSpPr>
        <xdr:cNvPr id="2" name="직사각형 1">
          <a:extLst>
            <a:ext uri="{FF2B5EF4-FFF2-40B4-BE49-F238E27FC236}">
              <a16:creationId xmlns:a16="http://schemas.microsoft.com/office/drawing/2014/main" id="{EB6C7BAC-127A-4388-B196-B44191BAC11B}"/>
            </a:ext>
          </a:extLst>
        </xdr:cNvPr>
        <xdr:cNvSpPr/>
      </xdr:nvSpPr>
      <xdr:spPr>
        <a:xfrm>
          <a:off x="0" y="0"/>
          <a:ext cx="266700" cy="2095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647699</xdr:colOff>
      <xdr:row>2</xdr:row>
      <xdr:rowOff>123825</xdr:rowOff>
    </xdr:from>
    <xdr:to>
      <xdr:col>16</xdr:col>
      <xdr:colOff>371474</xdr:colOff>
      <xdr:row>17</xdr:row>
      <xdr:rowOff>123825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D043C23C-3D3D-49C6-BA43-935980C6A100}"/>
            </a:ext>
          </a:extLst>
        </xdr:cNvPr>
        <xdr:cNvSpPr txBox="1"/>
      </xdr:nvSpPr>
      <xdr:spPr>
        <a:xfrm>
          <a:off x="7124699" y="542925"/>
          <a:ext cx="4524375" cy="314325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100">
              <a:latin typeface="+mj-ea"/>
              <a:ea typeface="+mj-ea"/>
            </a:rPr>
            <a:t>2.</a:t>
          </a:r>
          <a:r>
            <a:rPr lang="en-US" altLang="ko-KR" sz="1100" baseline="0">
              <a:latin typeface="+mj-ea"/>
              <a:ea typeface="+mj-ea"/>
            </a:rPr>
            <a:t> MID</a:t>
          </a:r>
          <a:r>
            <a:rPr lang="ko-KR" altLang="en-US" sz="1100" baseline="0">
              <a:latin typeface="+mj-ea"/>
              <a:ea typeface="+mj-ea"/>
            </a:rPr>
            <a:t>와 결합하는 기초</a:t>
          </a:r>
          <a:endParaRPr lang="en-US" altLang="ko-KR" sz="1100" baseline="0">
            <a:latin typeface="+mj-ea"/>
            <a:ea typeface="+mj-ea"/>
          </a:endParaRPr>
        </a:p>
        <a:p>
          <a:r>
            <a:rPr lang="en-US" altLang="ko-KR" sz="1100" baseline="0">
              <a:latin typeface="+mj-ea"/>
              <a:ea typeface="+mj-ea"/>
            </a:rPr>
            <a:t>3. </a:t>
          </a:r>
          <a:r>
            <a:rPr lang="ko-KR" altLang="en-US" sz="1100" baseline="0">
              <a:latin typeface="+mj-ea"/>
              <a:ea typeface="+mj-ea"/>
            </a:rPr>
            <a:t>공통된 텍스트</a:t>
          </a:r>
          <a:r>
            <a:rPr lang="en-US" altLang="ko-KR" sz="1100" baseline="0">
              <a:latin typeface="+mj-ea"/>
              <a:ea typeface="+mj-ea"/>
            </a:rPr>
            <a:t> </a:t>
          </a:r>
          <a:r>
            <a:rPr lang="ko-KR" altLang="en-US" sz="1100" baseline="0">
              <a:latin typeface="+mj-ea"/>
              <a:ea typeface="+mj-ea"/>
            </a:rPr>
            <a:t>찾기</a:t>
          </a:r>
          <a:r>
            <a:rPr lang="en-US" altLang="ko-KR" sz="1100" baseline="0">
              <a:latin typeface="+mj-ea"/>
              <a:ea typeface="+mj-ea"/>
            </a:rPr>
            <a:t>/FIND( )±1</a:t>
          </a:r>
        </a:p>
        <a:p>
          <a:r>
            <a:rPr lang="en-US" altLang="ko-KR" sz="1100" baseline="0">
              <a:latin typeface="+mj-ea"/>
              <a:ea typeface="+mj-ea"/>
            </a:rPr>
            <a:t>4. </a:t>
          </a:r>
          <a:r>
            <a:rPr lang="ko-KR" altLang="en-US" sz="1100" baseline="0">
              <a:latin typeface="+mj-ea"/>
              <a:ea typeface="+mj-ea"/>
            </a:rPr>
            <a:t>공통된 텍스트 찾기</a:t>
          </a:r>
          <a:r>
            <a:rPr lang="en-US" altLang="ko-KR" sz="1100" baseline="0">
              <a:latin typeface="+mj-ea"/>
              <a:ea typeface="+mj-ea"/>
            </a:rPr>
            <a:t>/</a:t>
          </a:r>
          <a:r>
            <a:rPr lang="en-US" altLang="ko-KR" sz="1100" baseline="0">
              <a:solidFill>
                <a:schemeClr val="dk1"/>
              </a:solidFill>
              <a:effectLst/>
              <a:latin typeface="+mj-ea"/>
              <a:ea typeface="+mj-ea"/>
              <a:cs typeface="+mn-cs"/>
            </a:rPr>
            <a:t>FIND( )±1</a:t>
          </a:r>
        </a:p>
        <a:p>
          <a:r>
            <a:rPr lang="en-US" altLang="ko-KR" sz="1100" baseline="0">
              <a:solidFill>
                <a:schemeClr val="dk1"/>
              </a:solidFill>
              <a:effectLst/>
              <a:latin typeface="+mj-ea"/>
              <a:ea typeface="+mj-ea"/>
              <a:cs typeface="+mn-cs"/>
            </a:rPr>
            <a:t>    ※ 3</a:t>
          </a:r>
          <a:r>
            <a:rPr lang="ko-KR" altLang="en-US" sz="1100" baseline="0">
              <a:solidFill>
                <a:schemeClr val="dk1"/>
              </a:solidFill>
              <a:effectLst/>
              <a:latin typeface="+mj-ea"/>
              <a:ea typeface="+mj-ea"/>
              <a:cs typeface="+mn-cs"/>
            </a:rPr>
            <a:t>번과 </a:t>
          </a:r>
          <a:r>
            <a:rPr lang="en-US" altLang="ko-KR" sz="1100" baseline="0">
              <a:solidFill>
                <a:schemeClr val="dk1"/>
              </a:solidFill>
              <a:effectLst/>
              <a:latin typeface="+mj-ea"/>
              <a:ea typeface="+mj-ea"/>
              <a:cs typeface="+mn-cs"/>
            </a:rPr>
            <a:t>4</a:t>
          </a:r>
          <a:r>
            <a:rPr lang="ko-KR" altLang="en-US" sz="1100" baseline="0">
              <a:solidFill>
                <a:schemeClr val="dk1"/>
              </a:solidFill>
              <a:effectLst/>
              <a:latin typeface="+mj-ea"/>
              <a:ea typeface="+mj-ea"/>
              <a:cs typeface="+mn-cs"/>
            </a:rPr>
            <a:t>번의 차이는 핵심내용은 동일하다</a:t>
          </a:r>
          <a:r>
            <a:rPr lang="en-US" altLang="ko-KR" sz="1100" baseline="0">
              <a:solidFill>
                <a:schemeClr val="dk1"/>
              </a:solidFill>
              <a:effectLst/>
              <a:latin typeface="+mj-ea"/>
              <a:ea typeface="+mj-ea"/>
              <a:cs typeface="+mn-cs"/>
            </a:rPr>
            <a:t>. </a:t>
          </a:r>
          <a:r>
            <a:rPr lang="ko-KR" altLang="en-US" sz="1100" baseline="0">
              <a:solidFill>
                <a:schemeClr val="dk1"/>
              </a:solidFill>
              <a:effectLst/>
              <a:latin typeface="+mj-ea"/>
              <a:ea typeface="+mj-ea"/>
              <a:cs typeface="+mn-cs"/>
            </a:rPr>
            <a:t>하지만 </a:t>
          </a:r>
          <a:r>
            <a:rPr lang="en-US" altLang="ko-KR" sz="1100" baseline="0">
              <a:solidFill>
                <a:schemeClr val="dk1"/>
              </a:solidFill>
              <a:effectLst/>
              <a:latin typeface="+mj-ea"/>
              <a:ea typeface="+mj-ea"/>
              <a:cs typeface="+mn-cs"/>
            </a:rPr>
            <a:t> FIND</a:t>
          </a:r>
          <a:r>
            <a:rPr lang="ko-KR" altLang="en-US" sz="1100" baseline="0">
              <a:solidFill>
                <a:schemeClr val="dk1"/>
              </a:solidFill>
              <a:effectLst/>
              <a:latin typeface="+mj-ea"/>
              <a:ea typeface="+mj-ea"/>
              <a:cs typeface="+mn-cs"/>
            </a:rPr>
            <a:t>함수가</a:t>
          </a:r>
          <a:endParaRPr lang="en-US" altLang="ko-KR" sz="1100" baseline="0">
            <a:solidFill>
              <a:schemeClr val="dk1"/>
            </a:solidFill>
            <a:effectLst/>
            <a:latin typeface="+mj-ea"/>
            <a:ea typeface="+mj-ea"/>
            <a:cs typeface="+mn-cs"/>
          </a:endParaRPr>
        </a:p>
        <a:p>
          <a:r>
            <a:rPr lang="ko-KR" altLang="en-US" sz="1100" baseline="0">
              <a:solidFill>
                <a:schemeClr val="dk1"/>
              </a:solidFill>
              <a:effectLst/>
              <a:latin typeface="+mj-ea"/>
              <a:ea typeface="+mj-ea"/>
              <a:cs typeface="+mn-cs"/>
            </a:rPr>
            <a:t>      </a:t>
          </a:r>
          <a:r>
            <a:rPr lang="en-US" altLang="ko-KR" sz="1100" baseline="0">
              <a:solidFill>
                <a:schemeClr val="dk1"/>
              </a:solidFill>
              <a:effectLst/>
              <a:latin typeface="+mj-ea"/>
              <a:ea typeface="+mj-ea"/>
              <a:cs typeface="+mn-cs"/>
            </a:rPr>
            <a:t>MID</a:t>
          </a:r>
          <a:r>
            <a:rPr lang="ko-KR" altLang="en-US" sz="1100" baseline="0">
              <a:solidFill>
                <a:schemeClr val="dk1"/>
              </a:solidFill>
              <a:effectLst/>
              <a:latin typeface="+mj-ea"/>
              <a:ea typeface="+mj-ea"/>
              <a:cs typeface="+mn-cs"/>
            </a:rPr>
            <a:t>함수의 인수</a:t>
          </a:r>
          <a:r>
            <a:rPr lang="en-US" altLang="ko-KR" sz="1100" baseline="0">
              <a:solidFill>
                <a:schemeClr val="dk1"/>
              </a:solidFill>
              <a:effectLst/>
              <a:latin typeface="+mj-ea"/>
              <a:ea typeface="+mj-ea"/>
              <a:cs typeface="+mn-cs"/>
            </a:rPr>
            <a:t>2</a:t>
          </a:r>
          <a:r>
            <a:rPr lang="ko-KR" altLang="en-US" sz="1100" baseline="0">
              <a:solidFill>
                <a:schemeClr val="dk1"/>
              </a:solidFill>
              <a:effectLst/>
              <a:latin typeface="+mj-ea"/>
              <a:ea typeface="+mj-ea"/>
              <a:cs typeface="+mn-cs"/>
            </a:rPr>
            <a:t>에 들어가냐 인수</a:t>
          </a:r>
          <a:r>
            <a:rPr lang="en-US" altLang="ko-KR" sz="1100" baseline="0">
              <a:solidFill>
                <a:schemeClr val="dk1"/>
              </a:solidFill>
              <a:effectLst/>
              <a:latin typeface="+mj-ea"/>
              <a:ea typeface="+mj-ea"/>
              <a:cs typeface="+mn-cs"/>
            </a:rPr>
            <a:t>3</a:t>
          </a:r>
          <a:r>
            <a:rPr lang="ko-KR" altLang="en-US" sz="1100" baseline="0">
              <a:solidFill>
                <a:schemeClr val="dk1"/>
              </a:solidFill>
              <a:effectLst/>
              <a:latin typeface="+mj-ea"/>
              <a:ea typeface="+mj-ea"/>
              <a:cs typeface="+mn-cs"/>
            </a:rPr>
            <a:t>에 들어가냐의 차이이다</a:t>
          </a:r>
          <a:r>
            <a:rPr lang="en-US" altLang="ko-KR" sz="1100" baseline="0">
              <a:solidFill>
                <a:schemeClr val="dk1"/>
              </a:solidFill>
              <a:effectLst/>
              <a:latin typeface="+mj-ea"/>
              <a:ea typeface="+mj-ea"/>
              <a:cs typeface="+mn-cs"/>
            </a:rPr>
            <a:t>.</a:t>
          </a:r>
        </a:p>
        <a:p>
          <a:r>
            <a:rPr lang="en-US" altLang="ko-KR" sz="1100" baseline="0">
              <a:solidFill>
                <a:schemeClr val="dk1"/>
              </a:solidFill>
              <a:effectLst/>
              <a:latin typeface="+mj-ea"/>
              <a:ea typeface="+mj-ea"/>
              <a:cs typeface="+mn-cs"/>
            </a:rPr>
            <a:t>5. FIND</a:t>
          </a:r>
          <a:r>
            <a:rPr lang="ko-KR" altLang="en-US" sz="1100" baseline="0">
              <a:solidFill>
                <a:schemeClr val="dk1"/>
              </a:solidFill>
              <a:effectLst/>
              <a:latin typeface="+mj-ea"/>
              <a:ea typeface="+mj-ea"/>
              <a:cs typeface="+mn-cs"/>
            </a:rPr>
            <a:t>함수를 이중으로 사용한 경우 </a:t>
          </a:r>
          <a:r>
            <a:rPr lang="en-US" altLang="ko-KR" sz="1100" baseline="0">
              <a:solidFill>
                <a:schemeClr val="dk1"/>
              </a:solidFill>
              <a:effectLst/>
              <a:latin typeface="+mj-ea"/>
              <a:ea typeface="+mj-ea"/>
              <a:cs typeface="+mn-cs"/>
            </a:rPr>
            <a:t>/</a:t>
          </a:r>
        </a:p>
        <a:p>
          <a:r>
            <a:rPr lang="en-US" altLang="ko-KR" sz="1100" baseline="0">
              <a:solidFill>
                <a:schemeClr val="dk1"/>
              </a:solidFill>
              <a:effectLst/>
              <a:latin typeface="+mj-ea"/>
              <a:ea typeface="+mj-ea"/>
              <a:cs typeface="+mn-cs"/>
            </a:rPr>
            <a:t>    "</a:t>
          </a:r>
          <a:r>
            <a:rPr lang="ko-KR" altLang="en-US" sz="1100" baseline="0">
              <a:solidFill>
                <a:schemeClr val="dk1"/>
              </a:solidFill>
              <a:effectLst/>
              <a:latin typeface="+mj-ea"/>
              <a:ea typeface="+mj-ea"/>
              <a:cs typeface="+mn-cs"/>
            </a:rPr>
            <a:t>인수</a:t>
          </a:r>
          <a:r>
            <a:rPr lang="en-US" altLang="ko-KR" sz="1100" baseline="0">
              <a:solidFill>
                <a:schemeClr val="dk1"/>
              </a:solidFill>
              <a:effectLst/>
              <a:latin typeface="+mj-ea"/>
              <a:ea typeface="+mj-ea"/>
              <a:cs typeface="+mn-cs"/>
            </a:rPr>
            <a:t>3</a:t>
          </a:r>
          <a:r>
            <a:rPr lang="ko-KR" altLang="en-US" sz="1100" baseline="0">
              <a:solidFill>
                <a:schemeClr val="dk1"/>
              </a:solidFill>
              <a:effectLst/>
              <a:latin typeface="+mj-ea"/>
              <a:ea typeface="+mj-ea"/>
              <a:cs typeface="+mn-cs"/>
            </a:rPr>
            <a:t>의 몇번째부터 찾을 것인가</a:t>
          </a:r>
          <a:r>
            <a:rPr lang="en-US" altLang="ko-KR" sz="1100" baseline="0">
              <a:solidFill>
                <a:schemeClr val="dk1"/>
              </a:solidFill>
              <a:effectLst/>
              <a:latin typeface="+mj-ea"/>
              <a:ea typeface="+mj-ea"/>
              <a:cs typeface="+mn-cs"/>
            </a:rPr>
            <a:t>" </a:t>
          </a:r>
          <a:r>
            <a:rPr lang="ko-KR" altLang="en-US" sz="1100" baseline="0">
              <a:solidFill>
                <a:schemeClr val="dk1"/>
              </a:solidFill>
              <a:effectLst/>
              <a:latin typeface="+mj-ea"/>
              <a:ea typeface="+mj-ea"/>
              <a:cs typeface="+mn-cs"/>
            </a:rPr>
            <a:t>를 응용한 것</a:t>
          </a:r>
          <a:endParaRPr lang="en-US" altLang="ko-KR" sz="1100" baseline="0">
            <a:solidFill>
              <a:schemeClr val="dk1"/>
            </a:solidFill>
            <a:effectLst/>
            <a:latin typeface="+mj-ea"/>
            <a:ea typeface="+mj-ea"/>
            <a:cs typeface="+mn-cs"/>
          </a:endParaRPr>
        </a:p>
        <a:p>
          <a:r>
            <a:rPr lang="en-US" altLang="ko-KR" sz="1100" baseline="0">
              <a:solidFill>
                <a:schemeClr val="dk1"/>
              </a:solidFill>
              <a:effectLst/>
              <a:latin typeface="+mj-ea"/>
              <a:ea typeface="+mj-ea"/>
              <a:cs typeface="+mn-cs"/>
            </a:rPr>
            <a:t>6. </a:t>
          </a:r>
          <a:r>
            <a:rPr lang="ko-KR" altLang="en-US" sz="1100" baseline="0">
              <a:solidFill>
                <a:schemeClr val="dk1"/>
              </a:solidFill>
              <a:effectLst/>
              <a:latin typeface="+mj-ea"/>
              <a:ea typeface="+mj-ea"/>
              <a:cs typeface="+mn-cs"/>
            </a:rPr>
            <a:t>①</a:t>
          </a:r>
          <a:r>
            <a:rPr lang="en-US" altLang="ko-KR" sz="1100" baseline="0">
              <a:solidFill>
                <a:schemeClr val="dk1"/>
              </a:solidFill>
              <a:effectLst/>
              <a:latin typeface="+mj-ea"/>
              <a:ea typeface="+mj-ea"/>
              <a:cs typeface="+mn-cs"/>
            </a:rPr>
            <a:t>FIND</a:t>
          </a:r>
          <a:r>
            <a:rPr lang="ko-KR" altLang="en-US" sz="1100" baseline="0">
              <a:solidFill>
                <a:schemeClr val="dk1"/>
              </a:solidFill>
              <a:effectLst/>
              <a:latin typeface="+mj-ea"/>
              <a:ea typeface="+mj-ea"/>
              <a:cs typeface="+mn-cs"/>
            </a:rPr>
            <a:t>함수의 결과속성이 숫자와 에러 두가지</a:t>
          </a:r>
          <a:endParaRPr lang="en-US" altLang="ko-KR" sz="1100" baseline="0">
            <a:solidFill>
              <a:schemeClr val="dk1"/>
            </a:solidFill>
            <a:effectLst/>
            <a:latin typeface="+mj-ea"/>
            <a:ea typeface="+mj-ea"/>
            <a:cs typeface="+mn-cs"/>
          </a:endParaRPr>
        </a:p>
        <a:p>
          <a:r>
            <a:rPr lang="en-US" altLang="ko-KR" sz="1100" baseline="0">
              <a:solidFill>
                <a:schemeClr val="dk1"/>
              </a:solidFill>
              <a:effectLst/>
              <a:latin typeface="+mj-ea"/>
              <a:ea typeface="+mj-ea"/>
              <a:cs typeface="+mn-cs"/>
            </a:rPr>
            <a:t>     </a:t>
          </a:r>
          <a:r>
            <a:rPr lang="ko-KR" altLang="en-US" sz="1100" baseline="0">
              <a:solidFill>
                <a:schemeClr val="dk1"/>
              </a:solidFill>
              <a:effectLst/>
              <a:latin typeface="+mj-ea"/>
              <a:ea typeface="+mj-ea"/>
              <a:cs typeface="+mn-cs"/>
            </a:rPr>
            <a:t>②</a:t>
          </a:r>
          <a:r>
            <a:rPr lang="en-US" altLang="ko-KR" sz="1100" baseline="0">
              <a:solidFill>
                <a:schemeClr val="dk1"/>
              </a:solidFill>
              <a:effectLst/>
              <a:latin typeface="+mj-ea"/>
              <a:ea typeface="+mj-ea"/>
              <a:cs typeface="+mn-cs"/>
            </a:rPr>
            <a:t> ISNUMBER </a:t>
          </a:r>
          <a:r>
            <a:rPr lang="ko-KR" altLang="en-US" sz="1100" baseline="0">
              <a:solidFill>
                <a:schemeClr val="dk1"/>
              </a:solidFill>
              <a:effectLst/>
              <a:latin typeface="+mj-ea"/>
              <a:ea typeface="+mj-ea"/>
              <a:cs typeface="+mn-cs"/>
            </a:rPr>
            <a:t>또는 </a:t>
          </a:r>
          <a:r>
            <a:rPr lang="en-US" altLang="ko-KR" sz="1100" baseline="0">
              <a:solidFill>
                <a:schemeClr val="dk1"/>
              </a:solidFill>
              <a:effectLst/>
              <a:latin typeface="+mj-ea"/>
              <a:ea typeface="+mj-ea"/>
              <a:cs typeface="+mn-cs"/>
            </a:rPr>
            <a:t>ISERROR</a:t>
          </a:r>
          <a:r>
            <a:rPr lang="ko-KR" altLang="en-US" sz="1100" baseline="0">
              <a:solidFill>
                <a:schemeClr val="dk1"/>
              </a:solidFill>
              <a:effectLst/>
              <a:latin typeface="+mj-ea"/>
              <a:ea typeface="+mj-ea"/>
              <a:cs typeface="+mn-cs"/>
            </a:rPr>
            <a:t>함수를  이용</a:t>
          </a:r>
          <a:endParaRPr lang="en-US" altLang="ko-KR" sz="1100" baseline="0">
            <a:solidFill>
              <a:schemeClr val="dk1"/>
            </a:solidFill>
            <a:effectLst/>
            <a:latin typeface="+mj-ea"/>
            <a:ea typeface="+mj-ea"/>
            <a:cs typeface="+mn-cs"/>
          </a:endParaRPr>
        </a:p>
        <a:p>
          <a:r>
            <a:rPr lang="en-US" altLang="ko-KR" sz="1100" baseline="0">
              <a:solidFill>
                <a:schemeClr val="dk1"/>
              </a:solidFill>
              <a:effectLst/>
              <a:latin typeface="+mj-ea"/>
              <a:ea typeface="+mj-ea"/>
              <a:cs typeface="+mn-cs"/>
            </a:rPr>
            <a:t>     </a:t>
          </a:r>
          <a:r>
            <a:rPr lang="ko-KR" altLang="ko-KR" sz="1100" baseline="0">
              <a:solidFill>
                <a:schemeClr val="dk1"/>
              </a:solidFill>
              <a:effectLst/>
              <a:latin typeface="+mj-ea"/>
              <a:ea typeface="+mj-ea"/>
              <a:cs typeface="+mn-cs"/>
            </a:rPr>
            <a:t>①</a:t>
          </a:r>
          <a:r>
            <a:rPr lang="ko-KR" altLang="en-US" sz="1100" baseline="0">
              <a:solidFill>
                <a:schemeClr val="dk1"/>
              </a:solidFill>
              <a:effectLst/>
              <a:latin typeface="+mj-ea"/>
              <a:ea typeface="+mj-ea"/>
              <a:cs typeface="+mn-cs"/>
            </a:rPr>
            <a:t>과 </a:t>
          </a:r>
          <a:r>
            <a:rPr lang="ko-KR" altLang="ko-KR" sz="1100" baseline="0">
              <a:solidFill>
                <a:schemeClr val="dk1"/>
              </a:solidFill>
              <a:effectLst/>
              <a:latin typeface="+mj-ea"/>
              <a:ea typeface="+mj-ea"/>
              <a:cs typeface="+mn-cs"/>
            </a:rPr>
            <a:t>②</a:t>
          </a:r>
          <a:r>
            <a:rPr lang="ko-KR" altLang="en-US" sz="1100" baseline="0">
              <a:solidFill>
                <a:schemeClr val="dk1"/>
              </a:solidFill>
              <a:effectLst/>
              <a:latin typeface="+mj-ea"/>
              <a:ea typeface="+mj-ea"/>
              <a:cs typeface="+mn-cs"/>
            </a:rPr>
            <a:t>를 이용하여 특정 텍스트 포함 </a:t>
          </a:r>
          <a:r>
            <a:rPr lang="en-US" altLang="ko-KR" sz="1100" baseline="0">
              <a:solidFill>
                <a:schemeClr val="dk1"/>
              </a:solidFill>
              <a:effectLst/>
              <a:latin typeface="+mj-ea"/>
              <a:ea typeface="+mj-ea"/>
              <a:cs typeface="+mn-cs"/>
            </a:rPr>
            <a:t>/ </a:t>
          </a:r>
          <a:r>
            <a:rPr lang="ko-KR" altLang="en-US" sz="1100" baseline="0">
              <a:solidFill>
                <a:schemeClr val="dk1"/>
              </a:solidFill>
              <a:effectLst/>
              <a:latin typeface="+mj-ea"/>
              <a:ea typeface="+mj-ea"/>
              <a:cs typeface="+mn-cs"/>
            </a:rPr>
            <a:t>미포함 으로 구분</a:t>
          </a:r>
          <a:endParaRPr lang="en-US" altLang="ko-KR" sz="1100" baseline="0">
            <a:solidFill>
              <a:schemeClr val="dk1"/>
            </a:solidFill>
            <a:effectLst/>
            <a:latin typeface="+mj-ea"/>
            <a:ea typeface="+mj-ea"/>
            <a:cs typeface="+mn-cs"/>
          </a:endParaRPr>
        </a:p>
        <a:p>
          <a:r>
            <a:rPr lang="en-US" altLang="ko-KR" sz="1100" baseline="0">
              <a:solidFill>
                <a:schemeClr val="dk1"/>
              </a:solidFill>
              <a:effectLst/>
              <a:latin typeface="+mj-ea"/>
              <a:ea typeface="+mj-ea"/>
              <a:cs typeface="+mn-cs"/>
            </a:rPr>
            <a:t>     </a:t>
          </a:r>
          <a:r>
            <a:rPr lang="ko-KR" altLang="en-US" sz="1100" baseline="0">
              <a:solidFill>
                <a:schemeClr val="dk1"/>
              </a:solidFill>
              <a:effectLst/>
              <a:latin typeface="+mj-ea"/>
              <a:ea typeface="+mj-ea"/>
              <a:cs typeface="+mn-cs"/>
            </a:rPr>
            <a:t>포함 </a:t>
          </a:r>
          <a:r>
            <a:rPr lang="en-US" altLang="ko-KR" sz="1100" baseline="0">
              <a:solidFill>
                <a:schemeClr val="dk1"/>
              </a:solidFill>
              <a:effectLst/>
              <a:latin typeface="+mj-ea"/>
              <a:ea typeface="+mj-ea"/>
              <a:cs typeface="+mn-cs"/>
            </a:rPr>
            <a:t>-&gt; ISNUMBER ( FIND(  ) )</a:t>
          </a:r>
        </a:p>
        <a:p>
          <a:endParaRPr lang="en-US" altLang="ko-KR" sz="1100" baseline="0">
            <a:solidFill>
              <a:schemeClr val="dk1"/>
            </a:solidFill>
            <a:effectLst/>
            <a:latin typeface="+mj-ea"/>
            <a:ea typeface="+mj-ea"/>
            <a:cs typeface="+mn-cs"/>
          </a:endParaRPr>
        </a:p>
        <a:p>
          <a:endParaRPr lang="en-US" altLang="ko-KR" sz="1100" baseline="0">
            <a:solidFill>
              <a:schemeClr val="dk1"/>
            </a:solidFill>
            <a:effectLst/>
            <a:latin typeface="+mj-ea"/>
            <a:ea typeface="+mj-ea"/>
            <a:cs typeface="+mn-cs"/>
          </a:endParaRPr>
        </a:p>
        <a:p>
          <a:endParaRPr lang="en-US" altLang="ko-KR" sz="1100" baseline="0">
            <a:latin typeface="+mj-ea"/>
            <a:ea typeface="+mj-ea"/>
          </a:endParaRPr>
        </a:p>
        <a:p>
          <a:endParaRPr lang="ko-KR" altLang="en-US" sz="1100">
            <a:latin typeface="+mj-ea"/>
            <a:ea typeface="+mj-ea"/>
          </a:endParaRPr>
        </a:p>
      </xdr:txBody>
    </xdr:sp>
    <xdr:clientData/>
  </xdr:twoCellAnchor>
  <xdr:twoCellAnchor editAs="oneCell">
    <xdr:from>
      <xdr:col>6</xdr:col>
      <xdr:colOff>676275</xdr:colOff>
      <xdr:row>10</xdr:row>
      <xdr:rowOff>104775</xdr:rowOff>
    </xdr:from>
    <xdr:to>
      <xdr:col>16</xdr:col>
      <xdr:colOff>95250</xdr:colOff>
      <xdr:row>34</xdr:row>
      <xdr:rowOff>19050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1D7807D4-8EF1-4216-A7DE-2E41782CA4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95875" y="2200275"/>
          <a:ext cx="6276975" cy="4943475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266700</xdr:colOff>
      <xdr:row>1</xdr:row>
      <xdr:rowOff>0</xdr:rowOff>
    </xdr:to>
    <xdr:sp macro="[0]!시트이동_목차" textlink="">
      <xdr:nvSpPr>
        <xdr:cNvPr id="4" name="직사각형 3">
          <a:extLst>
            <a:ext uri="{FF2B5EF4-FFF2-40B4-BE49-F238E27FC236}">
              <a16:creationId xmlns:a16="http://schemas.microsoft.com/office/drawing/2014/main" id="{A2A2BA7B-1E62-4A25-9046-B77FC0BCC744}"/>
            </a:ext>
          </a:extLst>
        </xdr:cNvPr>
        <xdr:cNvSpPr/>
      </xdr:nvSpPr>
      <xdr:spPr>
        <a:xfrm>
          <a:off x="0" y="0"/>
          <a:ext cx="266700" cy="2095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9525</xdr:colOff>
      <xdr:row>0</xdr:row>
      <xdr:rowOff>209550</xdr:rowOff>
    </xdr:to>
    <xdr:sp macro="[0]!시트이동_목차" textlink="">
      <xdr:nvSpPr>
        <xdr:cNvPr id="2" name="직사각형 1">
          <a:extLst>
            <a:ext uri="{FF2B5EF4-FFF2-40B4-BE49-F238E27FC236}">
              <a16:creationId xmlns:a16="http://schemas.microsoft.com/office/drawing/2014/main" id="{957AC059-5B59-4036-93C8-85B58A5830BA}"/>
            </a:ext>
          </a:extLst>
        </xdr:cNvPr>
        <xdr:cNvSpPr/>
      </xdr:nvSpPr>
      <xdr:spPr>
        <a:xfrm>
          <a:off x="0" y="0"/>
          <a:ext cx="266700" cy="2095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16</xdr:col>
      <xdr:colOff>28575</xdr:colOff>
      <xdr:row>5</xdr:row>
      <xdr:rowOff>85726</xdr:rowOff>
    </xdr:from>
    <xdr:to>
      <xdr:col>30</xdr:col>
      <xdr:colOff>504825</xdr:colOff>
      <xdr:row>25</xdr:row>
      <xdr:rowOff>205313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9417E8D-4A6B-44AF-8DB1-E2C937ED43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1076326"/>
          <a:ext cx="5772150" cy="4453462"/>
        </a:xfrm>
        <a:prstGeom prst="rect">
          <a:avLst/>
        </a:prstGeom>
        <a:solidFill>
          <a:schemeClr val="bg1"/>
        </a:solidFill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9733;&#50976;&#53916;&#48652;&#50629;&#47196;&#46300;/&#50696;&#51228;&#54028;&#51068;/&#54632;&#49688;&#51221;&#51032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목차"/>
      <sheetName val="양식"/>
      <sheetName val="SUM"/>
      <sheetName val="AVERAGE"/>
      <sheetName val="AND,OR"/>
      <sheetName val="MID,LEFT,RIGHT"/>
      <sheetName val="RANK"/>
      <sheetName val="IF"/>
      <sheetName val="ROUND"/>
      <sheetName val="TRUNC"/>
      <sheetName val="INT"/>
      <sheetName val="ROUND,TRUNC,INT비교"/>
      <sheetName val="MAX,MIN,LARGE,SMALL"/>
      <sheetName val="COUNT계열"/>
      <sheetName val="SUMIF,AVERAGEIF"/>
      <sheetName val="DB함수_DSUM,DAVERAGE"/>
      <sheetName val="DB함수_DCOUNT,DCOUNTA"/>
      <sheetName val="SUMIF와 DSUM의 차이"/>
      <sheetName val="SUMPRODUCT"/>
      <sheetName val="날짜_기초"/>
      <sheetName val="날짜_기초2"/>
      <sheetName val="날짜_WEEKDAY"/>
      <sheetName val="날짜_EOMONTH"/>
      <sheetName val="날짜_DATEDIF"/>
      <sheetName val="날짜_WORKDAY"/>
      <sheetName val="날짜_NETWORKDAYS"/>
      <sheetName val="날짜활용2"/>
      <sheetName val="년도별 공휴일"/>
      <sheetName val="VALUE"/>
      <sheetName val="INDEX_정의"/>
      <sheetName val="INDEX_예제"/>
      <sheetName val="MATCH_정의"/>
      <sheetName val="MATCH"/>
      <sheetName val="LOOKUP"/>
      <sheetName val="MOD_정의"/>
      <sheetName val="MOD"/>
      <sheetName val="CHOOSE_정의"/>
      <sheetName val="CHOOSE"/>
      <sheetName val="CHOOSE_2"/>
      <sheetName val="ROW&amp;COLUMN_정의"/>
      <sheetName val="ROW&amp;COLUMN"/>
      <sheetName val="ROWS&amp;COLUMNS"/>
      <sheetName val="FIND&amp;SEARCH_정의"/>
      <sheetName val="FIND&amp;SEARCH"/>
      <sheetName val="TEXT정의"/>
      <sheetName val="TEXT"/>
      <sheetName val="IS시리즈"/>
      <sheetName val="Sheet5"/>
      <sheetName val="Sheet1"/>
      <sheetName val="함수정의"/>
    </sheetNames>
    <definedNames>
      <definedName name="시트이동_목차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>
        <row r="4">
          <cell r="J4">
            <v>43283</v>
          </cell>
        </row>
        <row r="6">
          <cell r="J6" t="str">
            <v>2018.7.2 ~ 1900.1.0</v>
          </cell>
        </row>
      </sheetData>
      <sheetData sheetId="27">
        <row r="6">
          <cell r="D6">
            <v>43101</v>
          </cell>
        </row>
        <row r="7">
          <cell r="D7">
            <v>43146</v>
          </cell>
        </row>
        <row r="8">
          <cell r="D8">
            <v>43147</v>
          </cell>
        </row>
        <row r="9">
          <cell r="D9">
            <v>43148</v>
          </cell>
        </row>
        <row r="10">
          <cell r="D10">
            <v>43160</v>
          </cell>
        </row>
        <row r="11">
          <cell r="D11">
            <v>43225</v>
          </cell>
        </row>
        <row r="12">
          <cell r="D12">
            <v>43227</v>
          </cell>
        </row>
        <row r="13">
          <cell r="D13">
            <v>43242</v>
          </cell>
        </row>
        <row r="14">
          <cell r="D14">
            <v>43257</v>
          </cell>
        </row>
        <row r="15">
          <cell r="D15">
            <v>43264</v>
          </cell>
        </row>
        <row r="16">
          <cell r="D16">
            <v>43327</v>
          </cell>
        </row>
        <row r="17">
          <cell r="D17">
            <v>43367</v>
          </cell>
        </row>
        <row r="18">
          <cell r="D18">
            <v>43368</v>
          </cell>
        </row>
        <row r="19">
          <cell r="D19">
            <v>43369</v>
          </cell>
        </row>
        <row r="20">
          <cell r="D20">
            <v>43376</v>
          </cell>
        </row>
        <row r="21">
          <cell r="D21">
            <v>43382</v>
          </cell>
        </row>
        <row r="22">
          <cell r="D22">
            <v>43459</v>
          </cell>
        </row>
      </sheetData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EEAEA-0B2F-4703-9B14-2BA5B2B0D920}">
  <sheetPr codeName="Sheet1"/>
  <dimension ref="A2:A26"/>
  <sheetViews>
    <sheetView tabSelected="1" workbookViewId="0">
      <selection activeCell="F30" sqref="F30"/>
    </sheetView>
  </sheetViews>
  <sheetFormatPr defaultColWidth="14.75" defaultRowHeight="16.5"/>
  <cols>
    <col min="1" max="1" width="2.25" customWidth="1"/>
    <col min="2" max="2" width="25" customWidth="1"/>
    <col min="3" max="3" width="1.875" customWidth="1"/>
    <col min="4" max="4" width="25" customWidth="1"/>
    <col min="5" max="5" width="1.875" customWidth="1"/>
    <col min="6" max="6" width="25" customWidth="1"/>
  </cols>
  <sheetData>
    <row r="2" ht="24.75" customHeight="1"/>
    <row r="3" ht="6" customHeight="1"/>
    <row r="4" ht="24.75" customHeight="1"/>
    <row r="5" ht="6" customHeight="1"/>
    <row r="6" ht="24.75" customHeight="1"/>
    <row r="7" ht="6" customHeight="1"/>
    <row r="8" ht="24.75" customHeight="1"/>
    <row r="9" ht="6" customHeight="1"/>
    <row r="10" ht="24.75" customHeight="1"/>
    <row r="11" ht="6" customHeight="1"/>
    <row r="12" ht="24.75" customHeight="1"/>
    <row r="13" ht="6" customHeight="1"/>
    <row r="14" ht="24.75" customHeight="1"/>
    <row r="15" ht="6" customHeight="1"/>
    <row r="16" ht="24.75" customHeight="1"/>
    <row r="17" ht="6" customHeight="1"/>
    <row r="18" ht="24.75" customHeight="1"/>
    <row r="19" ht="6" customHeight="1"/>
    <row r="20" ht="24.75" customHeight="1"/>
    <row r="21" ht="6" customHeight="1"/>
    <row r="22" ht="24.75" customHeight="1"/>
    <row r="23" ht="6" customHeight="1"/>
    <row r="24" ht="24.75" customHeight="1"/>
    <row r="25" ht="6" customHeight="1"/>
    <row r="26" ht="24.75" customHeight="1"/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F18B69-12F4-4F22-A6D5-FD6C3BE11594}">
  <sheetPr codeName="Sheet3"/>
  <dimension ref="B1:L19"/>
  <sheetViews>
    <sheetView workbookViewId="0">
      <selection activeCell="B1" sqref="B1"/>
    </sheetView>
  </sheetViews>
  <sheetFormatPr defaultRowHeight="16.5"/>
  <cols>
    <col min="1" max="1" width="2.625" customWidth="1"/>
    <col min="2" max="2" width="5.25" customWidth="1"/>
    <col min="3" max="6" width="10.75" customWidth="1"/>
    <col min="7" max="7" width="3" customWidth="1"/>
    <col min="8" max="8" width="10.75" customWidth="1"/>
  </cols>
  <sheetData>
    <row r="1" spans="2:12" ht="17.25" thickBot="1"/>
    <row r="2" spans="2:12" ht="20.25">
      <c r="H2" s="216" t="s">
        <v>89</v>
      </c>
      <c r="I2" s="217"/>
      <c r="J2" s="217"/>
      <c r="K2" s="217"/>
      <c r="L2" s="218"/>
    </row>
    <row r="3" spans="2:12">
      <c r="H3" s="219" t="s">
        <v>96</v>
      </c>
      <c r="I3" s="220"/>
      <c r="J3" s="220"/>
      <c r="K3" s="221"/>
      <c r="L3" s="222"/>
    </row>
    <row r="4" spans="2:12">
      <c r="H4" s="11"/>
      <c r="I4" s="12"/>
      <c r="J4" s="12"/>
      <c r="K4" s="12"/>
      <c r="L4" s="13"/>
    </row>
    <row r="5" spans="2:12">
      <c r="H5" s="36" t="s">
        <v>97</v>
      </c>
      <c r="I5" s="12" t="s">
        <v>90</v>
      </c>
      <c r="J5" s="12"/>
      <c r="K5" s="12"/>
      <c r="L5" s="13"/>
    </row>
    <row r="6" spans="2:12" ht="16.5" customHeight="1">
      <c r="H6" s="37" t="s">
        <v>98</v>
      </c>
      <c r="I6" s="31" t="s">
        <v>99</v>
      </c>
      <c r="J6" s="31" t="s">
        <v>100</v>
      </c>
      <c r="K6" s="31" t="s">
        <v>101</v>
      </c>
      <c r="L6" s="38" t="s">
        <v>102</v>
      </c>
    </row>
    <row r="7" spans="2:12">
      <c r="H7" s="39">
        <v>80</v>
      </c>
      <c r="I7" s="33">
        <v>90</v>
      </c>
      <c r="J7" s="33">
        <v>85</v>
      </c>
      <c r="K7" s="33">
        <v>95</v>
      </c>
      <c r="L7" s="40">
        <v>100</v>
      </c>
    </row>
    <row r="8" spans="2:12">
      <c r="H8" s="37" t="s">
        <v>103</v>
      </c>
      <c r="I8" s="31" t="s">
        <v>104</v>
      </c>
      <c r="J8" s="31" t="s">
        <v>91</v>
      </c>
      <c r="K8" s="31" t="s">
        <v>92</v>
      </c>
      <c r="L8" s="38"/>
    </row>
    <row r="9" spans="2:12">
      <c r="H9" s="39">
        <v>80</v>
      </c>
      <c r="I9" s="33">
        <v>90</v>
      </c>
      <c r="J9" s="33">
        <v>100</v>
      </c>
      <c r="K9" s="33">
        <v>80</v>
      </c>
      <c r="L9" s="40"/>
    </row>
    <row r="10" spans="2:12">
      <c r="H10" s="11"/>
      <c r="I10" s="12"/>
      <c r="J10" s="12"/>
      <c r="K10" s="12"/>
      <c r="L10" s="13"/>
    </row>
    <row r="11" spans="2:12">
      <c r="H11" s="36" t="s">
        <v>105</v>
      </c>
      <c r="I11" s="12" t="s">
        <v>93</v>
      </c>
      <c r="J11" s="12"/>
      <c r="K11" s="12"/>
      <c r="L11" s="13"/>
    </row>
    <row r="12" spans="2:12">
      <c r="H12" s="37" t="s">
        <v>106</v>
      </c>
      <c r="I12" s="31" t="s">
        <v>94</v>
      </c>
      <c r="J12" s="31" t="s">
        <v>107</v>
      </c>
      <c r="K12" s="31" t="s">
        <v>95</v>
      </c>
      <c r="L12" s="38" t="s">
        <v>108</v>
      </c>
    </row>
    <row r="13" spans="2:12" ht="17.25" thickBot="1">
      <c r="H13" s="41">
        <v>20</v>
      </c>
      <c r="I13" s="42">
        <v>20</v>
      </c>
      <c r="J13" s="42">
        <v>15</v>
      </c>
      <c r="K13" s="42">
        <v>15</v>
      </c>
      <c r="L13" s="43">
        <v>10</v>
      </c>
    </row>
    <row r="14" spans="2:12">
      <c r="B14" s="66" t="s">
        <v>79</v>
      </c>
      <c r="C14" s="66" t="s">
        <v>80</v>
      </c>
      <c r="D14" s="66" t="s">
        <v>81</v>
      </c>
      <c r="E14" s="66" t="s">
        <v>82</v>
      </c>
      <c r="F14" s="66" t="s">
        <v>83</v>
      </c>
    </row>
    <row r="15" spans="2:12">
      <c r="B15" s="33" t="s">
        <v>84</v>
      </c>
      <c r="C15" s="33">
        <v>90</v>
      </c>
      <c r="D15" s="33">
        <v>70</v>
      </c>
      <c r="E15" s="33">
        <v>80</v>
      </c>
      <c r="F15" s="6"/>
    </row>
    <row r="16" spans="2:12">
      <c r="B16" s="33" t="s">
        <v>85</v>
      </c>
      <c r="C16" s="33">
        <v>80</v>
      </c>
      <c r="D16" s="33">
        <v>90</v>
      </c>
      <c r="E16" s="33">
        <v>90</v>
      </c>
      <c r="F16" s="6"/>
    </row>
    <row r="17" spans="2:6">
      <c r="B17" s="33" t="s">
        <v>86</v>
      </c>
      <c r="C17" s="33">
        <v>95</v>
      </c>
      <c r="D17" s="33">
        <v>80</v>
      </c>
      <c r="E17" s="33">
        <v>85</v>
      </c>
      <c r="F17" s="6"/>
    </row>
    <row r="18" spans="2:6">
      <c r="B18" s="33" t="s">
        <v>87</v>
      </c>
      <c r="C18" s="33">
        <v>85</v>
      </c>
      <c r="D18" s="33">
        <v>100</v>
      </c>
      <c r="E18" s="33">
        <v>70</v>
      </c>
      <c r="F18" s="6"/>
    </row>
    <row r="19" spans="2:6">
      <c r="B19" s="33" t="s">
        <v>88</v>
      </c>
      <c r="C19" s="33">
        <v>70</v>
      </c>
      <c r="D19" s="33">
        <v>80</v>
      </c>
      <c r="E19" s="33">
        <v>90</v>
      </c>
      <c r="F19" s="6"/>
    </row>
  </sheetData>
  <mergeCells count="3">
    <mergeCell ref="H2:L2"/>
    <mergeCell ref="H3:J3"/>
    <mergeCell ref="K3:L3"/>
  </mergeCells>
  <phoneticPr fontId="2" type="noConversion"/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8FE255-C16B-4BA7-B212-979620629FC0}">
  <sheetPr codeName="Sheet4"/>
  <dimension ref="J2:R18"/>
  <sheetViews>
    <sheetView workbookViewId="0">
      <selection activeCell="B1" sqref="B1"/>
    </sheetView>
  </sheetViews>
  <sheetFormatPr defaultRowHeight="16.5"/>
  <cols>
    <col min="1" max="1" width="2.875" customWidth="1"/>
    <col min="2" max="2" width="3.25" customWidth="1"/>
    <col min="9" max="9" width="2" customWidth="1"/>
  </cols>
  <sheetData>
    <row r="2" spans="10:18">
      <c r="J2" s="67" t="s">
        <v>294</v>
      </c>
      <c r="K2" s="67" t="s">
        <v>295</v>
      </c>
      <c r="L2" s="67" t="s">
        <v>297</v>
      </c>
      <c r="M2" s="67" t="s">
        <v>299</v>
      </c>
      <c r="O2" s="67" t="s">
        <v>300</v>
      </c>
      <c r="P2" s="67" t="s">
        <v>295</v>
      </c>
      <c r="Q2" s="67" t="s">
        <v>297</v>
      </c>
      <c r="R2" s="67" t="s">
        <v>299</v>
      </c>
    </row>
    <row r="3" spans="10:18">
      <c r="J3" s="68" t="s">
        <v>10</v>
      </c>
      <c r="K3" s="68">
        <v>100</v>
      </c>
      <c r="L3" s="68">
        <v>70</v>
      </c>
      <c r="M3" s="68">
        <v>80</v>
      </c>
      <c r="O3" s="68" t="s">
        <v>302</v>
      </c>
      <c r="P3" s="68">
        <v>100</v>
      </c>
      <c r="Q3" s="68">
        <v>70</v>
      </c>
      <c r="R3" s="68">
        <v>80</v>
      </c>
    </row>
    <row r="4" spans="10:18">
      <c r="J4" s="7" t="s">
        <v>9</v>
      </c>
      <c r="K4" s="8">
        <v>0</v>
      </c>
      <c r="L4" s="8">
        <v>0</v>
      </c>
      <c r="M4" s="8">
        <v>0</v>
      </c>
      <c r="O4" s="7" t="s">
        <v>303</v>
      </c>
      <c r="P4" s="8">
        <v>0</v>
      </c>
      <c r="Q4" s="8">
        <v>0</v>
      </c>
      <c r="R4" s="8">
        <v>0</v>
      </c>
    </row>
    <row r="5" spans="10:18">
      <c r="J5" s="68" t="s">
        <v>304</v>
      </c>
      <c r="K5" s="68">
        <v>100</v>
      </c>
      <c r="L5" s="68">
        <v>80</v>
      </c>
      <c r="M5" s="68">
        <v>85</v>
      </c>
      <c r="O5" s="68" t="s">
        <v>304</v>
      </c>
      <c r="P5" s="68">
        <v>100</v>
      </c>
      <c r="Q5" s="68">
        <v>80</v>
      </c>
      <c r="R5" s="68">
        <v>85</v>
      </c>
    </row>
    <row r="6" spans="10:18">
      <c r="J6" s="68" t="s">
        <v>305</v>
      </c>
      <c r="K6" s="68">
        <v>100</v>
      </c>
      <c r="L6" s="68">
        <v>100</v>
      </c>
      <c r="M6" s="68">
        <v>70</v>
      </c>
      <c r="O6" s="68" t="s">
        <v>305</v>
      </c>
      <c r="P6" s="68">
        <v>100</v>
      </c>
      <c r="Q6" s="68">
        <v>100</v>
      </c>
      <c r="R6" s="68">
        <v>70</v>
      </c>
    </row>
    <row r="7" spans="10:18">
      <c r="J7" s="68" t="s">
        <v>306</v>
      </c>
      <c r="K7" s="68">
        <v>100</v>
      </c>
      <c r="L7" s="68">
        <v>80</v>
      </c>
      <c r="M7" s="68">
        <v>90</v>
      </c>
      <c r="O7" s="68" t="s">
        <v>306</v>
      </c>
      <c r="P7" s="68">
        <v>100</v>
      </c>
      <c r="Q7" s="68">
        <v>80</v>
      </c>
      <c r="R7" s="68">
        <v>90</v>
      </c>
    </row>
    <row r="8" spans="10:18" ht="16.5" customHeight="1">
      <c r="J8" s="69" t="s">
        <v>308</v>
      </c>
      <c r="K8" s="69"/>
      <c r="L8" s="69"/>
      <c r="M8" s="69"/>
      <c r="O8" s="69" t="s">
        <v>308</v>
      </c>
      <c r="P8" s="69"/>
      <c r="Q8" s="69"/>
      <c r="R8" s="69"/>
    </row>
    <row r="9" spans="10:18" ht="16.5" customHeight="1"/>
    <row r="10" spans="10:18" ht="16.5" customHeight="1"/>
    <row r="12" spans="10:18">
      <c r="J12" s="67" t="s">
        <v>300</v>
      </c>
      <c r="K12" s="67" t="s">
        <v>301</v>
      </c>
      <c r="L12" s="67" t="s">
        <v>297</v>
      </c>
      <c r="M12" s="67" t="s">
        <v>298</v>
      </c>
      <c r="O12" s="67" t="s">
        <v>13</v>
      </c>
      <c r="P12" s="67" t="s">
        <v>301</v>
      </c>
      <c r="Q12" s="67" t="s">
        <v>296</v>
      </c>
      <c r="R12" s="67" t="s">
        <v>298</v>
      </c>
    </row>
    <row r="13" spans="10:18">
      <c r="J13" s="68" t="s">
        <v>302</v>
      </c>
      <c r="K13" s="68">
        <v>100</v>
      </c>
      <c r="L13" s="68">
        <v>70</v>
      </c>
      <c r="M13" s="68">
        <v>80</v>
      </c>
      <c r="O13" s="68" t="s">
        <v>10</v>
      </c>
      <c r="P13" s="68">
        <v>100</v>
      </c>
      <c r="Q13" s="68">
        <v>70</v>
      </c>
      <c r="R13" s="68">
        <v>80</v>
      </c>
    </row>
    <row r="14" spans="10:18">
      <c r="J14" s="7" t="s">
        <v>303</v>
      </c>
      <c r="K14" s="8" t="s">
        <v>310</v>
      </c>
      <c r="L14" s="8" t="s">
        <v>309</v>
      </c>
      <c r="M14" s="8" t="s">
        <v>311</v>
      </c>
      <c r="O14" s="7" t="s">
        <v>312</v>
      </c>
      <c r="P14" s="8" t="s">
        <v>309</v>
      </c>
      <c r="Q14" s="8" t="s">
        <v>309</v>
      </c>
      <c r="R14" s="8" t="s">
        <v>309</v>
      </c>
    </row>
    <row r="15" spans="10:18">
      <c r="J15" s="68" t="s">
        <v>11</v>
      </c>
      <c r="K15" s="68">
        <v>100</v>
      </c>
      <c r="L15" s="68">
        <v>80</v>
      </c>
      <c r="M15" s="68">
        <v>85</v>
      </c>
      <c r="O15" s="68" t="s">
        <v>304</v>
      </c>
      <c r="P15" s="68">
        <v>100</v>
      </c>
      <c r="Q15" s="68">
        <v>80</v>
      </c>
      <c r="R15" s="68">
        <v>85</v>
      </c>
    </row>
    <row r="16" spans="10:18">
      <c r="J16" s="68" t="s">
        <v>35</v>
      </c>
      <c r="K16" s="68">
        <v>100</v>
      </c>
      <c r="L16" s="68">
        <v>100</v>
      </c>
      <c r="M16" s="68">
        <v>70</v>
      </c>
      <c r="O16" s="68" t="s">
        <v>313</v>
      </c>
      <c r="P16" s="68">
        <v>100</v>
      </c>
      <c r="Q16" s="68">
        <v>100</v>
      </c>
      <c r="R16" s="68">
        <v>70</v>
      </c>
    </row>
    <row r="17" spans="10:18">
      <c r="J17" s="68" t="s">
        <v>12</v>
      </c>
      <c r="K17" s="68">
        <v>100</v>
      </c>
      <c r="L17" s="68">
        <v>80</v>
      </c>
      <c r="M17" s="68">
        <v>90</v>
      </c>
      <c r="O17" s="68" t="s">
        <v>12</v>
      </c>
      <c r="P17" s="68">
        <v>100</v>
      </c>
      <c r="Q17" s="68">
        <v>80</v>
      </c>
      <c r="R17" s="68">
        <v>90</v>
      </c>
    </row>
    <row r="18" spans="10:18">
      <c r="J18" s="69" t="s">
        <v>308</v>
      </c>
      <c r="K18" s="69"/>
      <c r="L18" s="69"/>
      <c r="M18" s="69"/>
      <c r="O18" s="69" t="s">
        <v>307</v>
      </c>
      <c r="P18" s="69"/>
      <c r="Q18" s="69"/>
      <c r="R18" s="69"/>
    </row>
  </sheetData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C202F-682C-493C-AC0C-8A240AA7BADF}">
  <sheetPr codeName="Sheet5"/>
  <dimension ref="B12:L19"/>
  <sheetViews>
    <sheetView workbookViewId="0">
      <selection activeCell="A2" sqref="A2"/>
    </sheetView>
  </sheetViews>
  <sheetFormatPr defaultRowHeight="16.5"/>
  <cols>
    <col min="1" max="1" width="3.25" customWidth="1"/>
    <col min="2" max="2" width="8.875" customWidth="1"/>
    <col min="3" max="3" width="11" bestFit="1" customWidth="1"/>
    <col min="4" max="4" width="13" bestFit="1" customWidth="1"/>
    <col min="5" max="5" width="10.875" customWidth="1"/>
    <col min="6" max="7" width="8.875" customWidth="1"/>
    <col min="8" max="8" width="17.25" style="16" bestFit="1" customWidth="1"/>
    <col min="9" max="9" width="8.25" bestFit="1" customWidth="1"/>
    <col min="10" max="10" width="5.25" bestFit="1" customWidth="1"/>
    <col min="11" max="11" width="13" bestFit="1" customWidth="1"/>
    <col min="12" max="12" width="10" customWidth="1"/>
  </cols>
  <sheetData>
    <row r="12" spans="2:12">
      <c r="B12" t="s">
        <v>110</v>
      </c>
      <c r="H12" t="s">
        <v>135</v>
      </c>
    </row>
    <row r="13" spans="2:12">
      <c r="B13" t="s">
        <v>109</v>
      </c>
      <c r="H13" s="31" t="s">
        <v>117</v>
      </c>
      <c r="I13" s="31" t="s">
        <v>118</v>
      </c>
      <c r="J13" s="31" t="s">
        <v>119</v>
      </c>
      <c r="K13" s="31" t="s">
        <v>120</v>
      </c>
      <c r="L13" s="31" t="s">
        <v>138</v>
      </c>
    </row>
    <row r="14" spans="2:12">
      <c r="B14" s="31" t="s">
        <v>139</v>
      </c>
      <c r="C14" s="31" t="s">
        <v>140</v>
      </c>
      <c r="D14" s="31" t="s">
        <v>141</v>
      </c>
      <c r="E14" s="31" t="s">
        <v>142</v>
      </c>
      <c r="H14" s="47" t="s">
        <v>121</v>
      </c>
      <c r="I14" s="33" t="s">
        <v>122</v>
      </c>
      <c r="J14" s="33" t="s">
        <v>123</v>
      </c>
      <c r="K14" s="46">
        <v>445000</v>
      </c>
      <c r="L14" s="33"/>
    </row>
    <row r="15" spans="2:12">
      <c r="B15" s="33" t="s">
        <v>111</v>
      </c>
      <c r="C15" s="33">
        <v>45</v>
      </c>
      <c r="D15" s="33">
        <v>75</v>
      </c>
      <c r="E15" s="33"/>
      <c r="H15" s="47" t="s">
        <v>124</v>
      </c>
      <c r="I15" s="33" t="s">
        <v>125</v>
      </c>
      <c r="J15" s="33" t="s">
        <v>123</v>
      </c>
      <c r="K15" s="46">
        <v>8201390</v>
      </c>
      <c r="L15" s="33"/>
    </row>
    <row r="16" spans="2:12">
      <c r="B16" s="33" t="s">
        <v>112</v>
      </c>
      <c r="C16" s="33">
        <v>55</v>
      </c>
      <c r="D16" s="33">
        <v>50</v>
      </c>
      <c r="E16" s="33"/>
      <c r="H16" s="47" t="s">
        <v>126</v>
      </c>
      <c r="I16" s="33" t="s">
        <v>127</v>
      </c>
      <c r="J16" s="33" t="s">
        <v>128</v>
      </c>
      <c r="K16" s="46">
        <v>48000</v>
      </c>
      <c r="L16" s="33"/>
    </row>
    <row r="17" spans="2:12">
      <c r="B17" s="33" t="s">
        <v>113</v>
      </c>
      <c r="C17" s="33">
        <v>30</v>
      </c>
      <c r="D17" s="33">
        <v>95</v>
      </c>
      <c r="E17" s="33"/>
      <c r="H17" s="47" t="s">
        <v>129</v>
      </c>
      <c r="I17" s="33" t="s">
        <v>130</v>
      </c>
      <c r="J17" s="33" t="s">
        <v>131</v>
      </c>
      <c r="K17" s="46">
        <v>730000</v>
      </c>
      <c r="L17" s="33"/>
    </row>
    <row r="18" spans="2:12">
      <c r="B18" s="33" t="s">
        <v>114</v>
      </c>
      <c r="C18" s="33">
        <v>60</v>
      </c>
      <c r="D18" s="33">
        <v>55</v>
      </c>
      <c r="E18" s="33"/>
      <c r="H18" s="47" t="s">
        <v>124</v>
      </c>
      <c r="I18" s="33" t="s">
        <v>130</v>
      </c>
      <c r="J18" s="33" t="s">
        <v>136</v>
      </c>
      <c r="K18" s="46">
        <v>162000</v>
      </c>
      <c r="L18" s="33"/>
    </row>
    <row r="19" spans="2:12">
      <c r="B19" s="3" t="s">
        <v>115</v>
      </c>
      <c r="C19" s="33">
        <v>70</v>
      </c>
      <c r="D19" s="33">
        <v>65</v>
      </c>
      <c r="E19" s="33"/>
      <c r="H19" s="47" t="s">
        <v>132</v>
      </c>
      <c r="I19" s="33" t="s">
        <v>130</v>
      </c>
      <c r="J19" s="33" t="s">
        <v>137</v>
      </c>
      <c r="K19" s="46">
        <v>2837950</v>
      </c>
      <c r="L19" s="33"/>
    </row>
  </sheetData>
  <phoneticPr fontId="2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0B331D-5D40-4711-BE47-3577818C3A08}">
  <sheetPr codeName="Sheet6"/>
  <dimension ref="B2:P12"/>
  <sheetViews>
    <sheetView workbookViewId="0">
      <selection activeCell="B1" sqref="B1"/>
    </sheetView>
  </sheetViews>
  <sheetFormatPr defaultRowHeight="16.5"/>
  <cols>
    <col min="1" max="1" width="3.125" customWidth="1"/>
    <col min="2" max="2" width="21.375" bestFit="1" customWidth="1"/>
    <col min="3" max="3" width="6" customWidth="1"/>
    <col min="4" max="4" width="11.25" customWidth="1"/>
    <col min="5" max="5" width="6" customWidth="1"/>
    <col min="6" max="6" width="11.25" customWidth="1"/>
    <col min="7" max="8" width="6" customWidth="1"/>
    <col min="9" max="9" width="11.25" customWidth="1"/>
    <col min="10" max="10" width="11" bestFit="1" customWidth="1"/>
    <col min="11" max="11" width="9.5" style="16" customWidth="1"/>
    <col min="12" max="12" width="11" style="16" bestFit="1" customWidth="1"/>
    <col min="13" max="13" width="5.25" style="16" bestFit="1" customWidth="1"/>
    <col min="14" max="14" width="9" style="16"/>
    <col min="15" max="15" width="14.125" style="16" bestFit="1" customWidth="1"/>
  </cols>
  <sheetData>
    <row r="2" spans="2:16">
      <c r="B2" s="224" t="s">
        <v>188</v>
      </c>
      <c r="C2" s="223" t="s">
        <v>194</v>
      </c>
      <c r="D2" s="223"/>
      <c r="E2" s="223" t="s">
        <v>196</v>
      </c>
      <c r="F2" s="223"/>
      <c r="G2" s="223" t="s">
        <v>193</v>
      </c>
      <c r="H2" s="223"/>
      <c r="I2" s="223"/>
      <c r="K2" s="31" t="s">
        <v>143</v>
      </c>
      <c r="L2" s="31" t="s">
        <v>144</v>
      </c>
      <c r="M2" s="31" t="s">
        <v>145</v>
      </c>
      <c r="N2" s="31" t="s">
        <v>146</v>
      </c>
      <c r="O2" s="31" t="s">
        <v>147</v>
      </c>
      <c r="P2" s="31" t="s">
        <v>197</v>
      </c>
    </row>
    <row r="3" spans="2:16">
      <c r="B3" s="224"/>
      <c r="C3" s="48" t="s">
        <v>189</v>
      </c>
      <c r="D3" s="48" t="s">
        <v>190</v>
      </c>
      <c r="E3" s="48" t="s">
        <v>191</v>
      </c>
      <c r="F3" s="48" t="s">
        <v>192</v>
      </c>
      <c r="G3" s="48" t="s">
        <v>189</v>
      </c>
      <c r="H3" s="48" t="s">
        <v>195</v>
      </c>
      <c r="I3" s="48" t="s">
        <v>192</v>
      </c>
      <c r="K3" s="49" t="s">
        <v>148</v>
      </c>
      <c r="L3" s="3" t="s">
        <v>149</v>
      </c>
      <c r="M3" s="3" t="s">
        <v>150</v>
      </c>
      <c r="N3" s="3" t="s">
        <v>151</v>
      </c>
      <c r="O3" s="3" t="s">
        <v>152</v>
      </c>
      <c r="P3" s="6"/>
    </row>
    <row r="4" spans="2:16">
      <c r="B4" s="44" t="s">
        <v>199</v>
      </c>
      <c r="C4" s="44">
        <v>1</v>
      </c>
      <c r="D4" s="6"/>
      <c r="E4" s="6">
        <v>1</v>
      </c>
      <c r="F4" s="6"/>
      <c r="G4" s="6"/>
      <c r="H4" s="6"/>
      <c r="I4" s="6"/>
      <c r="J4" t="s">
        <v>200</v>
      </c>
      <c r="K4" s="49" t="s">
        <v>153</v>
      </c>
      <c r="L4" s="3" t="s">
        <v>154</v>
      </c>
      <c r="M4" s="3" t="s">
        <v>155</v>
      </c>
      <c r="N4" s="3" t="s">
        <v>156</v>
      </c>
      <c r="O4" s="3" t="s">
        <v>157</v>
      </c>
      <c r="P4" s="6"/>
    </row>
    <row r="5" spans="2:16">
      <c r="B5" s="44" t="s">
        <v>198</v>
      </c>
      <c r="C5" s="44">
        <v>2</v>
      </c>
      <c r="D5" s="6"/>
      <c r="E5" s="6">
        <v>2</v>
      </c>
      <c r="F5" s="6"/>
      <c r="G5" s="6"/>
      <c r="H5" s="6"/>
      <c r="I5" s="6"/>
      <c r="J5" t="s">
        <v>201</v>
      </c>
      <c r="K5" s="49" t="s">
        <v>158</v>
      </c>
      <c r="L5" s="3" t="s">
        <v>159</v>
      </c>
      <c r="M5" s="3" t="s">
        <v>155</v>
      </c>
      <c r="N5" s="3" t="s">
        <v>151</v>
      </c>
      <c r="O5" s="3" t="s">
        <v>160</v>
      </c>
      <c r="P5" s="6"/>
    </row>
    <row r="6" spans="2:16">
      <c r="B6" s="44" t="s">
        <v>184</v>
      </c>
      <c r="C6" s="44">
        <v>3</v>
      </c>
      <c r="D6" s="6"/>
      <c r="E6" s="6">
        <v>3</v>
      </c>
      <c r="F6" s="6"/>
      <c r="G6" s="6"/>
      <c r="H6" s="6"/>
      <c r="I6" s="6"/>
      <c r="J6" t="s">
        <v>202</v>
      </c>
      <c r="K6" s="49" t="s">
        <v>161</v>
      </c>
      <c r="L6" s="3" t="s">
        <v>162</v>
      </c>
      <c r="M6" s="3" t="s">
        <v>150</v>
      </c>
      <c r="N6" s="3" t="s">
        <v>156</v>
      </c>
      <c r="O6" s="3" t="s">
        <v>163</v>
      </c>
      <c r="P6" s="6"/>
    </row>
    <row r="7" spans="2:16">
      <c r="B7" s="44" t="s">
        <v>185</v>
      </c>
      <c r="C7" s="44">
        <v>4</v>
      </c>
      <c r="D7" s="6"/>
      <c r="E7" s="6">
        <v>4</v>
      </c>
      <c r="F7" s="6"/>
      <c r="G7" s="6"/>
      <c r="H7" s="6"/>
      <c r="I7" s="6"/>
      <c r="J7" t="s">
        <v>203</v>
      </c>
      <c r="K7" s="49" t="s">
        <v>164</v>
      </c>
      <c r="L7" s="3" t="s">
        <v>162</v>
      </c>
      <c r="M7" s="3" t="s">
        <v>165</v>
      </c>
      <c r="N7" s="3" t="s">
        <v>151</v>
      </c>
      <c r="O7" s="3" t="s">
        <v>166</v>
      </c>
      <c r="P7" s="6"/>
    </row>
    <row r="8" spans="2:16">
      <c r="B8" s="44" t="s">
        <v>186</v>
      </c>
      <c r="C8" s="44">
        <v>5</v>
      </c>
      <c r="D8" s="6"/>
      <c r="E8" s="6">
        <v>5</v>
      </c>
      <c r="F8" s="6"/>
      <c r="G8" s="6"/>
      <c r="H8" s="6"/>
      <c r="I8" s="6"/>
      <c r="J8" t="s">
        <v>187</v>
      </c>
      <c r="K8" s="49" t="s">
        <v>167</v>
      </c>
      <c r="L8" s="3" t="s">
        <v>168</v>
      </c>
      <c r="M8" s="3" t="s">
        <v>169</v>
      </c>
      <c r="N8" s="3" t="s">
        <v>151</v>
      </c>
      <c r="O8" s="3" t="s">
        <v>170</v>
      </c>
      <c r="P8" s="6"/>
    </row>
    <row r="9" spans="2:16">
      <c r="B9" s="6">
        <v>1234567</v>
      </c>
      <c r="C9" s="6">
        <v>1</v>
      </c>
      <c r="D9" s="6"/>
      <c r="E9" s="6">
        <v>1</v>
      </c>
      <c r="F9" s="6"/>
      <c r="G9" s="6"/>
      <c r="H9" s="6"/>
      <c r="I9" s="6"/>
      <c r="K9" s="49" t="s">
        <v>171</v>
      </c>
      <c r="L9" s="3" t="s">
        <v>172</v>
      </c>
      <c r="M9" s="3" t="s">
        <v>150</v>
      </c>
      <c r="N9" s="3" t="s">
        <v>151</v>
      </c>
      <c r="O9" s="3" t="s">
        <v>173</v>
      </c>
      <c r="P9" s="6"/>
    </row>
    <row r="10" spans="2:16">
      <c r="K10" s="49" t="s">
        <v>174</v>
      </c>
      <c r="L10" s="3" t="s">
        <v>175</v>
      </c>
      <c r="M10" s="3" t="s">
        <v>150</v>
      </c>
      <c r="N10" s="3" t="s">
        <v>156</v>
      </c>
      <c r="O10" s="3" t="s">
        <v>176</v>
      </c>
      <c r="P10" s="6"/>
    </row>
    <row r="11" spans="2:16">
      <c r="K11" s="49" t="s">
        <v>177</v>
      </c>
      <c r="L11" s="3" t="s">
        <v>178</v>
      </c>
      <c r="M11" s="3" t="s">
        <v>179</v>
      </c>
      <c r="N11" s="3" t="s">
        <v>151</v>
      </c>
      <c r="O11" s="3" t="s">
        <v>180</v>
      </c>
      <c r="P11" s="6"/>
    </row>
    <row r="12" spans="2:16">
      <c r="K12" s="49" t="s">
        <v>181</v>
      </c>
      <c r="L12" s="3" t="s">
        <v>172</v>
      </c>
      <c r="M12" s="3" t="s">
        <v>182</v>
      </c>
      <c r="N12" s="3" t="s">
        <v>156</v>
      </c>
      <c r="O12" s="3" t="s">
        <v>183</v>
      </c>
      <c r="P12" s="6"/>
    </row>
  </sheetData>
  <mergeCells count="4">
    <mergeCell ref="G2:I2"/>
    <mergeCell ref="B2:B3"/>
    <mergeCell ref="C2:D2"/>
    <mergeCell ref="E2:F2"/>
  </mergeCells>
  <phoneticPr fontId="2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0BA1F5-1D54-4AB6-B118-F0520D926A89}">
  <sheetPr codeName="Sheet7"/>
  <dimension ref="I2:N7"/>
  <sheetViews>
    <sheetView workbookViewId="0">
      <selection activeCell="B1" sqref="B1"/>
    </sheetView>
  </sheetViews>
  <sheetFormatPr defaultRowHeight="16.5"/>
  <cols>
    <col min="1" max="1" width="3.25" customWidth="1"/>
  </cols>
  <sheetData>
    <row r="2" spans="9:14" ht="24.75" customHeight="1">
      <c r="I2" s="31" t="s">
        <v>79</v>
      </c>
      <c r="J2" s="31" t="s">
        <v>80</v>
      </c>
      <c r="K2" s="31" t="s">
        <v>81</v>
      </c>
      <c r="L2" s="31" t="s">
        <v>82</v>
      </c>
      <c r="M2" s="31" t="s">
        <v>204</v>
      </c>
      <c r="N2" s="31" t="s">
        <v>116</v>
      </c>
    </row>
    <row r="3" spans="9:14" ht="24.75" customHeight="1">
      <c r="I3" s="33" t="s">
        <v>84</v>
      </c>
      <c r="J3" s="33">
        <v>90</v>
      </c>
      <c r="K3" s="33">
        <v>70</v>
      </c>
      <c r="L3" s="33">
        <v>80</v>
      </c>
      <c r="M3" s="6"/>
      <c r="N3" s="6"/>
    </row>
    <row r="4" spans="9:14" ht="24.75" customHeight="1">
      <c r="I4" s="33" t="s">
        <v>85</v>
      </c>
      <c r="J4" s="33">
        <v>80</v>
      </c>
      <c r="K4" s="33">
        <v>90</v>
      </c>
      <c r="L4" s="33">
        <v>90</v>
      </c>
      <c r="M4" s="6"/>
      <c r="N4" s="6"/>
    </row>
    <row r="5" spans="9:14" ht="24.75" customHeight="1">
      <c r="I5" s="33" t="s">
        <v>86</v>
      </c>
      <c r="J5" s="33">
        <v>95</v>
      </c>
      <c r="K5" s="33">
        <v>80</v>
      </c>
      <c r="L5" s="33">
        <v>85</v>
      </c>
      <c r="M5" s="6"/>
      <c r="N5" s="6"/>
    </row>
    <row r="6" spans="9:14" ht="24.75" customHeight="1">
      <c r="I6" s="33" t="s">
        <v>87</v>
      </c>
      <c r="J6" s="33">
        <v>85</v>
      </c>
      <c r="K6" s="33">
        <v>100</v>
      </c>
      <c r="L6" s="33">
        <v>70</v>
      </c>
      <c r="M6" s="6"/>
      <c r="N6" s="6"/>
    </row>
    <row r="7" spans="9:14" ht="24.75" customHeight="1">
      <c r="I7" s="33" t="s">
        <v>88</v>
      </c>
      <c r="J7" s="33">
        <v>70</v>
      </c>
      <c r="K7" s="33">
        <v>80</v>
      </c>
      <c r="L7" s="33">
        <v>90</v>
      </c>
      <c r="M7" s="6"/>
      <c r="N7" s="6"/>
    </row>
  </sheetData>
  <phoneticPr fontId="2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4FDEE1-7E7D-4486-9103-DFB7E49AFC84}">
  <sheetPr codeName="Sheet8"/>
  <dimension ref="B2:L74"/>
  <sheetViews>
    <sheetView workbookViewId="0">
      <selection activeCell="B1" sqref="B1"/>
    </sheetView>
  </sheetViews>
  <sheetFormatPr defaultRowHeight="16.5"/>
  <cols>
    <col min="1" max="1" width="3.25" customWidth="1"/>
    <col min="3" max="4" width="9" customWidth="1"/>
  </cols>
  <sheetData>
    <row r="2" spans="2:12" ht="34.5" customHeight="1">
      <c r="B2" s="14" t="s">
        <v>14</v>
      </c>
    </row>
    <row r="3" spans="2:12" ht="17.25">
      <c r="B3" s="18" t="s">
        <v>15</v>
      </c>
      <c r="C3" s="9" t="s">
        <v>24</v>
      </c>
      <c r="D3" s="9"/>
      <c r="E3" s="17"/>
      <c r="F3" s="17"/>
      <c r="G3" s="17"/>
      <c r="H3" s="17"/>
      <c r="I3" s="17"/>
      <c r="J3" s="17"/>
      <c r="K3" s="17"/>
      <c r="L3" s="17"/>
    </row>
    <row r="4" spans="2:12">
      <c r="B4" t="s">
        <v>26</v>
      </c>
    </row>
    <row r="5" spans="2:12" ht="9" customHeight="1"/>
    <row r="6" spans="2:12">
      <c r="B6" s="1" t="s">
        <v>13</v>
      </c>
      <c r="C6" s="1" t="s">
        <v>25</v>
      </c>
      <c r="D6" s="1" t="s">
        <v>27</v>
      </c>
    </row>
    <row r="7" spans="2:12">
      <c r="B7" s="2" t="s">
        <v>10</v>
      </c>
      <c r="C7" s="2">
        <v>90</v>
      </c>
      <c r="D7" s="2"/>
    </row>
    <row r="8" spans="2:12">
      <c r="B8" s="2" t="s">
        <v>9</v>
      </c>
      <c r="C8" s="2">
        <v>80</v>
      </c>
      <c r="D8" s="2"/>
    </row>
    <row r="9" spans="2:12" ht="16.5" customHeight="1">
      <c r="B9" s="2" t="s">
        <v>11</v>
      </c>
      <c r="C9" s="2">
        <v>95</v>
      </c>
      <c r="D9" s="2"/>
    </row>
    <row r="10" spans="2:12">
      <c r="B10" s="2" t="s">
        <v>5</v>
      </c>
      <c r="C10" s="2">
        <v>85</v>
      </c>
      <c r="D10" s="2"/>
    </row>
    <row r="11" spans="2:12">
      <c r="B11" s="2" t="s">
        <v>12</v>
      </c>
      <c r="C11" s="2">
        <v>70</v>
      </c>
      <c r="D11" s="2"/>
      <c r="H11" s="15"/>
      <c r="I11" s="15"/>
      <c r="J11" s="15"/>
      <c r="K11" s="15"/>
    </row>
    <row r="15" spans="2:12" ht="17.25">
      <c r="B15" s="18" t="s">
        <v>28</v>
      </c>
      <c r="C15" t="s">
        <v>44</v>
      </c>
    </row>
    <row r="16" spans="2:12">
      <c r="B16" t="s">
        <v>316</v>
      </c>
    </row>
    <row r="17" spans="2:5" ht="16.5" customHeight="1">
      <c r="B17" t="s">
        <v>43</v>
      </c>
    </row>
    <row r="18" spans="2:5">
      <c r="B18" s="1" t="s">
        <v>29</v>
      </c>
      <c r="C18" s="1" t="s">
        <v>30</v>
      </c>
      <c r="D18" s="1" t="s">
        <v>31</v>
      </c>
      <c r="E18" s="67" t="s">
        <v>314</v>
      </c>
    </row>
    <row r="19" spans="2:5">
      <c r="B19" s="2" t="s">
        <v>32</v>
      </c>
      <c r="C19" s="2">
        <v>90</v>
      </c>
      <c r="D19" s="2">
        <v>80</v>
      </c>
      <c r="E19" s="2"/>
    </row>
    <row r="20" spans="2:5">
      <c r="B20" s="2" t="s">
        <v>33</v>
      </c>
      <c r="C20" s="2">
        <v>95</v>
      </c>
      <c r="D20" s="2">
        <v>90</v>
      </c>
      <c r="E20" s="2"/>
    </row>
    <row r="21" spans="2:5">
      <c r="B21" s="2" t="s">
        <v>34</v>
      </c>
      <c r="C21" s="2">
        <v>60</v>
      </c>
      <c r="D21" s="2">
        <v>85</v>
      </c>
      <c r="E21" s="2"/>
    </row>
    <row r="22" spans="2:5">
      <c r="B22" s="2" t="s">
        <v>35</v>
      </c>
      <c r="C22" s="2">
        <v>85</v>
      </c>
      <c r="D22" s="2">
        <v>90</v>
      </c>
      <c r="E22" s="2"/>
    </row>
    <row r="23" spans="2:5">
      <c r="B23" s="2" t="s">
        <v>36</v>
      </c>
      <c r="C23" s="2">
        <v>70</v>
      </c>
      <c r="D23" s="2">
        <v>90</v>
      </c>
      <c r="E23" s="2"/>
    </row>
    <row r="24" spans="2:5">
      <c r="B24" s="3" t="s">
        <v>6</v>
      </c>
      <c r="C24" s="3">
        <v>78</v>
      </c>
      <c r="D24" s="3">
        <v>85</v>
      </c>
      <c r="E24" s="6"/>
    </row>
    <row r="27" spans="2:5" ht="17.25">
      <c r="B27" s="18" t="s">
        <v>37</v>
      </c>
      <c r="C27" t="s">
        <v>20</v>
      </c>
    </row>
    <row r="28" spans="2:5">
      <c r="B28" t="s">
        <v>41</v>
      </c>
    </row>
    <row r="29" spans="2:5" ht="6" customHeight="1"/>
    <row r="30" spans="2:5">
      <c r="B30" s="1" t="s">
        <v>13</v>
      </c>
      <c r="C30" s="1" t="s">
        <v>25</v>
      </c>
      <c r="D30" s="1" t="s">
        <v>39</v>
      </c>
    </row>
    <row r="31" spans="2:5">
      <c r="B31" s="2" t="s">
        <v>10</v>
      </c>
      <c r="C31" s="2">
        <v>90</v>
      </c>
      <c r="D31" s="2"/>
    </row>
    <row r="32" spans="2:5">
      <c r="B32" s="2" t="s">
        <v>9</v>
      </c>
      <c r="C32" s="2">
        <v>80</v>
      </c>
      <c r="D32" s="2"/>
    </row>
    <row r="33" spans="2:4">
      <c r="B33" s="2" t="s">
        <v>11</v>
      </c>
      <c r="C33" s="2">
        <v>95</v>
      </c>
      <c r="D33" s="2"/>
    </row>
    <row r="34" spans="2:4">
      <c r="B34" s="2" t="s">
        <v>5</v>
      </c>
      <c r="C34" s="2">
        <v>85</v>
      </c>
      <c r="D34" s="2"/>
    </row>
    <row r="35" spans="2:4">
      <c r="B35" s="2" t="s">
        <v>12</v>
      </c>
      <c r="C35" s="2">
        <v>70</v>
      </c>
      <c r="D35" s="2"/>
    </row>
    <row r="49" spans="2:4" ht="17.25">
      <c r="B49" s="18" t="s">
        <v>40</v>
      </c>
    </row>
    <row r="50" spans="2:4">
      <c r="B50" t="s">
        <v>45</v>
      </c>
    </row>
    <row r="51" spans="2:4">
      <c r="B51" t="s">
        <v>46</v>
      </c>
    </row>
    <row r="52" spans="2:4">
      <c r="B52" s="1" t="s">
        <v>13</v>
      </c>
      <c r="C52" s="1" t="s">
        <v>25</v>
      </c>
      <c r="D52" s="1" t="s">
        <v>39</v>
      </c>
    </row>
    <row r="53" spans="2:4">
      <c r="B53" s="2" t="s">
        <v>10</v>
      </c>
      <c r="C53" s="2">
        <v>90</v>
      </c>
      <c r="D53" s="2"/>
    </row>
    <row r="54" spans="2:4">
      <c r="B54" s="2" t="s">
        <v>9</v>
      </c>
      <c r="C54" s="2">
        <v>80</v>
      </c>
      <c r="D54" s="2"/>
    </row>
    <row r="55" spans="2:4">
      <c r="B55" s="2" t="s">
        <v>11</v>
      </c>
      <c r="C55" s="2">
        <v>95</v>
      </c>
      <c r="D55" s="2"/>
    </row>
    <row r="56" spans="2:4">
      <c r="B56" s="2" t="s">
        <v>5</v>
      </c>
      <c r="C56" s="2">
        <v>85</v>
      </c>
      <c r="D56" s="2"/>
    </row>
    <row r="57" spans="2:4">
      <c r="B57" s="2" t="s">
        <v>12</v>
      </c>
      <c r="C57" s="2">
        <v>70</v>
      </c>
      <c r="D57" s="2"/>
    </row>
    <row r="58" spans="2:4">
      <c r="B58" s="3" t="s">
        <v>6</v>
      </c>
      <c r="C58" s="3">
        <v>87</v>
      </c>
      <c r="D58" s="6"/>
    </row>
    <row r="59" spans="2:4">
      <c r="B59" s="3" t="s">
        <v>42</v>
      </c>
      <c r="C59" s="3">
        <v>98</v>
      </c>
      <c r="D59" s="6"/>
    </row>
    <row r="60" spans="2:4">
      <c r="B60" s="3" t="s">
        <v>7</v>
      </c>
      <c r="C60" s="3">
        <v>76</v>
      </c>
      <c r="D60" s="6"/>
    </row>
    <row r="61" spans="2:4">
      <c r="B61" s="3" t="s">
        <v>8</v>
      </c>
      <c r="C61" s="3">
        <v>64</v>
      </c>
      <c r="D61" s="6"/>
    </row>
    <row r="68" spans="2:12">
      <c r="B68" s="226" t="s">
        <v>16</v>
      </c>
      <c r="C68" s="226" t="s">
        <v>38</v>
      </c>
      <c r="D68" s="225" t="s">
        <v>19</v>
      </c>
      <c r="E68" s="227" t="s">
        <v>23</v>
      </c>
      <c r="F68" s="227"/>
      <c r="G68" s="227"/>
      <c r="H68" s="227"/>
      <c r="I68" s="227"/>
      <c r="J68" s="227"/>
      <c r="K68" s="227"/>
      <c r="L68" s="227"/>
    </row>
    <row r="69" spans="2:12">
      <c r="B69" s="226"/>
      <c r="C69" s="226"/>
      <c r="D69" s="226"/>
      <c r="E69" s="227"/>
      <c r="F69" s="227"/>
      <c r="G69" s="227"/>
      <c r="H69" s="227"/>
      <c r="I69" s="227"/>
      <c r="J69" s="227"/>
      <c r="K69" s="227"/>
      <c r="L69" s="227"/>
    </row>
    <row r="70" spans="2:12">
      <c r="B70" s="226"/>
      <c r="C70" s="226"/>
      <c r="D70" s="226"/>
      <c r="E70" s="227"/>
      <c r="F70" s="227"/>
      <c r="G70" s="227"/>
      <c r="H70" s="227"/>
      <c r="I70" s="227"/>
      <c r="J70" s="227"/>
      <c r="K70" s="227"/>
      <c r="L70" s="227"/>
    </row>
    <row r="71" spans="2:12">
      <c r="B71" s="226" t="s">
        <v>17</v>
      </c>
      <c r="C71" s="226" t="s">
        <v>18</v>
      </c>
      <c r="D71" s="225" t="s">
        <v>21</v>
      </c>
      <c r="E71" s="227" t="s">
        <v>22</v>
      </c>
      <c r="F71" s="227"/>
      <c r="G71" s="227"/>
      <c r="H71" s="227"/>
      <c r="I71" s="227"/>
      <c r="J71" s="227"/>
      <c r="K71" s="227"/>
      <c r="L71" s="227"/>
    </row>
    <row r="72" spans="2:12">
      <c r="B72" s="226"/>
      <c r="C72" s="226"/>
      <c r="D72" s="225"/>
      <c r="E72" s="227"/>
      <c r="F72" s="227"/>
      <c r="G72" s="227"/>
      <c r="H72" s="227"/>
      <c r="I72" s="227"/>
      <c r="J72" s="227"/>
      <c r="K72" s="227"/>
      <c r="L72" s="227"/>
    </row>
    <row r="73" spans="2:12">
      <c r="B73" s="226"/>
      <c r="C73" s="226"/>
      <c r="D73" s="225"/>
      <c r="E73" s="227"/>
      <c r="F73" s="227"/>
      <c r="G73" s="227"/>
      <c r="H73" s="227"/>
      <c r="I73" s="227"/>
      <c r="J73" s="227"/>
      <c r="K73" s="227"/>
      <c r="L73" s="227"/>
    </row>
    <row r="74" spans="2:12">
      <c r="B74" s="226"/>
      <c r="C74" s="226"/>
      <c r="D74" s="225"/>
      <c r="E74" s="227"/>
      <c r="F74" s="227"/>
      <c r="G74" s="227"/>
      <c r="H74" s="227"/>
      <c r="I74" s="227"/>
      <c r="J74" s="227"/>
      <c r="K74" s="227"/>
      <c r="L74" s="227"/>
    </row>
  </sheetData>
  <mergeCells count="8">
    <mergeCell ref="D71:D74"/>
    <mergeCell ref="B68:B70"/>
    <mergeCell ref="C68:C70"/>
    <mergeCell ref="D68:D70"/>
    <mergeCell ref="E68:L70"/>
    <mergeCell ref="E71:L74"/>
    <mergeCell ref="B71:B74"/>
    <mergeCell ref="C71:C74"/>
  </mergeCells>
  <phoneticPr fontId="2" type="noConversion"/>
  <pageMargins left="0.7" right="0.7" top="0.75" bottom="0.75" header="0.3" footer="0.3"/>
  <pageSetup paperSize="9"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D6FEB2-F4A8-4119-BA0E-BCE34010303A}">
  <sheetPr codeName="Sheet9"/>
  <dimension ref="K3:M34"/>
  <sheetViews>
    <sheetView workbookViewId="0">
      <selection activeCell="B1" sqref="B1"/>
    </sheetView>
  </sheetViews>
  <sheetFormatPr defaultRowHeight="16.5"/>
  <cols>
    <col min="1" max="1" width="3.25" customWidth="1"/>
    <col min="11" max="11" width="16.25" customWidth="1"/>
    <col min="12" max="12" width="13" bestFit="1" customWidth="1"/>
    <col min="13" max="13" width="21.625" customWidth="1"/>
  </cols>
  <sheetData>
    <row r="3" spans="11:13" ht="20.25" customHeight="1">
      <c r="K3" s="31" t="s">
        <v>206</v>
      </c>
      <c r="L3" s="31" t="s">
        <v>207</v>
      </c>
      <c r="M3" s="31" t="s">
        <v>190</v>
      </c>
    </row>
    <row r="4" spans="11:13" ht="20.25" customHeight="1">
      <c r="K4" s="33">
        <v>256893254</v>
      </c>
      <c r="L4" s="33" t="s">
        <v>205</v>
      </c>
      <c r="M4" s="33"/>
    </row>
    <row r="5" spans="11:13" ht="20.25" customHeight="1">
      <c r="K5" s="33">
        <v>4829</v>
      </c>
      <c r="L5" s="33" t="s">
        <v>208</v>
      </c>
      <c r="M5" s="33"/>
    </row>
    <row r="6" spans="11:13" ht="20.25" customHeight="1">
      <c r="K6" s="33">
        <v>28543521</v>
      </c>
      <c r="L6" s="33" t="s">
        <v>209</v>
      </c>
      <c r="M6" s="33"/>
    </row>
    <row r="7" spans="11:13">
      <c r="K7" s="33">
        <v>532650</v>
      </c>
      <c r="L7" s="33" t="s">
        <v>210</v>
      </c>
      <c r="M7" s="33"/>
    </row>
    <row r="10" spans="11:13">
      <c r="K10" s="67" t="s">
        <v>211</v>
      </c>
    </row>
    <row r="11" spans="11:13">
      <c r="K11" s="68">
        <v>95</v>
      </c>
    </row>
    <row r="12" spans="11:13">
      <c r="K12" s="68">
        <v>86</v>
      </c>
    </row>
    <row r="13" spans="11:13">
      <c r="K13" s="68">
        <v>75</v>
      </c>
    </row>
    <row r="14" spans="11:13">
      <c r="K14" s="68">
        <v>84</v>
      </c>
    </row>
    <row r="15" spans="11:13">
      <c r="K15" s="68">
        <v>92</v>
      </c>
    </row>
    <row r="16" spans="11:13">
      <c r="K16" s="68">
        <v>77</v>
      </c>
    </row>
    <row r="17" spans="11:13">
      <c r="K17" s="68"/>
      <c r="L17" t="s">
        <v>212</v>
      </c>
    </row>
    <row r="19" spans="11:13">
      <c r="K19" t="s">
        <v>216</v>
      </c>
    </row>
    <row r="20" spans="11:13">
      <c r="K20" s="31" t="s">
        <v>213</v>
      </c>
      <c r="L20" s="31" t="s">
        <v>214</v>
      </c>
      <c r="M20" s="31" t="s">
        <v>215</v>
      </c>
    </row>
    <row r="21" spans="11:13">
      <c r="K21" s="45">
        <v>42383</v>
      </c>
      <c r="L21" s="46">
        <v>445000</v>
      </c>
      <c r="M21" s="50"/>
    </row>
    <row r="22" spans="11:13">
      <c r="K22" s="45">
        <v>42376</v>
      </c>
      <c r="L22" s="46">
        <v>8201390</v>
      </c>
    </row>
    <row r="23" spans="11:13">
      <c r="K23" s="45">
        <v>42376</v>
      </c>
      <c r="L23" s="46">
        <v>48000</v>
      </c>
    </row>
    <row r="24" spans="11:13">
      <c r="K24" s="45">
        <v>42387</v>
      </c>
      <c r="L24" s="46">
        <v>730000</v>
      </c>
    </row>
    <row r="25" spans="11:13">
      <c r="K25" s="45">
        <v>42394</v>
      </c>
      <c r="L25" s="46">
        <v>162000</v>
      </c>
    </row>
    <row r="26" spans="11:13">
      <c r="K26" s="45">
        <v>42374</v>
      </c>
      <c r="L26" s="46">
        <v>2837950</v>
      </c>
    </row>
    <row r="27" spans="11:13">
      <c r="K27" s="45">
        <v>42377</v>
      </c>
      <c r="L27" s="46">
        <v>123303000</v>
      </c>
    </row>
    <row r="28" spans="11:13">
      <c r="K28" s="45">
        <v>42374</v>
      </c>
      <c r="L28" s="46">
        <v>2550000</v>
      </c>
    </row>
    <row r="29" spans="11:13">
      <c r="K29" s="45">
        <v>42398</v>
      </c>
      <c r="L29" s="46">
        <v>23264100</v>
      </c>
    </row>
    <row r="30" spans="11:13">
      <c r="K30" s="45">
        <v>42380</v>
      </c>
      <c r="L30" s="46">
        <v>23155500</v>
      </c>
    </row>
    <row r="32" spans="11:13">
      <c r="K32" t="s">
        <v>217</v>
      </c>
    </row>
    <row r="33" spans="11:13">
      <c r="K33" s="31" t="s">
        <v>218</v>
      </c>
      <c r="L33" s="31" t="s">
        <v>219</v>
      </c>
      <c r="M33" s="31" t="s">
        <v>221</v>
      </c>
    </row>
    <row r="34" spans="11:13">
      <c r="K34" s="51">
        <v>25600000</v>
      </c>
      <c r="L34" s="6">
        <v>1560</v>
      </c>
      <c r="M34" s="70"/>
    </row>
  </sheetData>
  <phoneticPr fontId="2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8F4C06-A4A9-4417-953E-DF6C2E50846B}">
  <sheetPr codeName="Sheet10"/>
  <dimension ref="J2:L12"/>
  <sheetViews>
    <sheetView workbookViewId="0">
      <selection activeCell="B1" sqref="B1"/>
    </sheetView>
  </sheetViews>
  <sheetFormatPr defaultRowHeight="16.5"/>
  <cols>
    <col min="1" max="1" width="3.25" customWidth="1"/>
    <col min="2" max="2" width="3.125" customWidth="1"/>
    <col min="10" max="10" width="16.125" customWidth="1"/>
    <col min="11" max="11" width="6.25" bestFit="1" customWidth="1"/>
    <col min="12" max="12" width="18.125" customWidth="1"/>
  </cols>
  <sheetData>
    <row r="2" spans="10:12" ht="34.5" customHeight="1">
      <c r="J2" s="34" t="s">
        <v>222</v>
      </c>
      <c r="K2" s="34" t="s">
        <v>223</v>
      </c>
      <c r="L2" s="34" t="s">
        <v>224</v>
      </c>
    </row>
    <row r="3" spans="10:12" ht="24.75" customHeight="1">
      <c r="J3" s="32">
        <v>123456.7349</v>
      </c>
      <c r="K3" s="32">
        <v>3</v>
      </c>
      <c r="L3" s="5"/>
    </row>
    <row r="4" spans="10:12" ht="24.75" customHeight="1">
      <c r="J4" s="32">
        <v>123456.7349</v>
      </c>
      <c r="K4" s="32">
        <v>2</v>
      </c>
      <c r="L4" s="5"/>
    </row>
    <row r="5" spans="10:12" ht="24.75" customHeight="1">
      <c r="J5" s="32">
        <v>123456.7349</v>
      </c>
      <c r="K5" s="32">
        <v>1</v>
      </c>
      <c r="L5" s="5"/>
    </row>
    <row r="6" spans="10:12" ht="24.75" customHeight="1">
      <c r="J6" s="32">
        <v>123456.7349</v>
      </c>
      <c r="K6" s="32">
        <v>0</v>
      </c>
      <c r="L6" s="5"/>
    </row>
    <row r="7" spans="10:12" ht="24.75" customHeight="1">
      <c r="J7" s="32">
        <v>123456.7349</v>
      </c>
      <c r="K7" s="32">
        <v>-1</v>
      </c>
      <c r="L7" s="5"/>
    </row>
    <row r="8" spans="10:12" ht="24.75" customHeight="1">
      <c r="J8" s="32">
        <v>123456.7349</v>
      </c>
      <c r="K8" s="32">
        <v>-2</v>
      </c>
      <c r="L8" s="5"/>
    </row>
    <row r="9" spans="10:12" ht="24.75" customHeight="1">
      <c r="J9" s="32">
        <v>123456.7349</v>
      </c>
      <c r="K9" s="32">
        <v>-3</v>
      </c>
      <c r="L9" s="5"/>
    </row>
    <row r="10" spans="10:12" ht="24.75" customHeight="1">
      <c r="J10" s="32">
        <v>123456.7349</v>
      </c>
      <c r="K10" s="32">
        <v>-4</v>
      </c>
      <c r="L10" s="5"/>
    </row>
    <row r="11" spans="10:12" ht="24.75" customHeight="1"/>
    <row r="12" spans="10:12" ht="24.75" customHeight="1"/>
  </sheetData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44476-8727-476F-B5D5-FBD70BC9322B}">
  <sheetPr codeName="Sheet11"/>
  <dimension ref="J2:N15"/>
  <sheetViews>
    <sheetView workbookViewId="0">
      <selection activeCell="B1" sqref="B1"/>
    </sheetView>
  </sheetViews>
  <sheetFormatPr defaultRowHeight="16.5"/>
  <cols>
    <col min="1" max="1" width="3.25" customWidth="1"/>
  </cols>
  <sheetData>
    <row r="2" spans="10:14" ht="21.75" customHeight="1">
      <c r="J2" s="52" t="s">
        <v>225</v>
      </c>
      <c r="K2">
        <v>3.3332999999999999</v>
      </c>
      <c r="L2" t="s">
        <v>226</v>
      </c>
    </row>
    <row r="3" spans="10:14" ht="21.75" customHeight="1">
      <c r="J3" s="31" t="s">
        <v>227</v>
      </c>
      <c r="K3" s="31" t="s">
        <v>228</v>
      </c>
      <c r="L3" s="31" t="s">
        <v>229</v>
      </c>
      <c r="M3" s="31" t="s">
        <v>230</v>
      </c>
      <c r="N3" s="31" t="s">
        <v>231</v>
      </c>
    </row>
    <row r="4" spans="10:14" ht="21.75" customHeight="1">
      <c r="J4" s="6">
        <v>11</v>
      </c>
      <c r="K4" s="6">
        <v>6</v>
      </c>
      <c r="L4" s="6">
        <f>J4/K4</f>
        <v>1.8333333333333333</v>
      </c>
      <c r="M4" s="6">
        <f>INT(J4/K4)</f>
        <v>1</v>
      </c>
      <c r="N4" s="6">
        <f>MOD(J4,K4)</f>
        <v>5</v>
      </c>
    </row>
    <row r="5" spans="10:14" ht="21.75" customHeight="1">
      <c r="J5" s="6">
        <v>15</v>
      </c>
      <c r="K5" s="6">
        <v>4</v>
      </c>
      <c r="L5" s="6">
        <f t="shared" ref="L5:L10" si="0">J5/K5</f>
        <v>3.75</v>
      </c>
      <c r="M5" s="6">
        <f t="shared" ref="M5:M10" si="1">INT(J5/K5)</f>
        <v>3</v>
      </c>
      <c r="N5" s="6">
        <f t="shared" ref="N5:N10" si="2">MOD(J5,K5)</f>
        <v>3</v>
      </c>
    </row>
    <row r="6" spans="10:14" ht="21.75" customHeight="1">
      <c r="J6" s="6">
        <v>3</v>
      </c>
      <c r="K6" s="6">
        <v>2</v>
      </c>
      <c r="L6" s="6">
        <f t="shared" si="0"/>
        <v>1.5</v>
      </c>
      <c r="M6" s="6">
        <f t="shared" si="1"/>
        <v>1</v>
      </c>
      <c r="N6" s="6">
        <f t="shared" si="2"/>
        <v>1</v>
      </c>
    </row>
    <row r="7" spans="10:14" ht="21.75" customHeight="1">
      <c r="J7" s="6">
        <v>7</v>
      </c>
      <c r="K7" s="6">
        <v>3</v>
      </c>
      <c r="L7" s="6">
        <f t="shared" si="0"/>
        <v>2.3333333333333335</v>
      </c>
      <c r="M7" s="6">
        <f t="shared" si="1"/>
        <v>2</v>
      </c>
      <c r="N7" s="6">
        <f t="shared" si="2"/>
        <v>1</v>
      </c>
    </row>
    <row r="8" spans="10:14" ht="21.75" customHeight="1">
      <c r="J8" s="6">
        <v>8</v>
      </c>
      <c r="K8" s="6">
        <v>3</v>
      </c>
      <c r="L8" s="6">
        <f t="shared" si="0"/>
        <v>2.6666666666666665</v>
      </c>
      <c r="M8" s="6">
        <f t="shared" si="1"/>
        <v>2</v>
      </c>
      <c r="N8" s="6">
        <f t="shared" si="2"/>
        <v>2</v>
      </c>
    </row>
    <row r="9" spans="10:14" ht="21.75" customHeight="1">
      <c r="J9" s="6">
        <v>10</v>
      </c>
      <c r="K9" s="6">
        <v>3</v>
      </c>
      <c r="L9" s="6">
        <f t="shared" si="0"/>
        <v>3.3333333333333335</v>
      </c>
      <c r="M9" s="6">
        <f t="shared" si="1"/>
        <v>3</v>
      </c>
      <c r="N9" s="6">
        <f t="shared" si="2"/>
        <v>1</v>
      </c>
    </row>
    <row r="10" spans="10:14" ht="21.75" customHeight="1">
      <c r="J10" s="6">
        <v>10</v>
      </c>
      <c r="K10" s="6">
        <v>2.6</v>
      </c>
      <c r="L10" s="6">
        <f t="shared" si="0"/>
        <v>3.8461538461538458</v>
      </c>
      <c r="M10" s="6">
        <f t="shared" si="1"/>
        <v>3</v>
      </c>
      <c r="N10" s="6">
        <f t="shared" si="2"/>
        <v>2.1999999999999997</v>
      </c>
    </row>
    <row r="11" spans="10:14" ht="21.75" customHeight="1"/>
    <row r="12" spans="10:14" ht="21.75" customHeight="1"/>
    <row r="13" spans="10:14" ht="21.75" customHeight="1"/>
    <row r="14" spans="10:14" ht="21.75" customHeight="1">
      <c r="J14">
        <f>INT(10/3)</f>
        <v>3</v>
      </c>
    </row>
    <row r="15" spans="10:14" ht="21.75" customHeight="1"/>
  </sheetData>
  <phoneticPr fontId="2" type="noConversion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CDE31-BA8B-4024-B1C3-F16CBF9C9959}">
  <sheetPr codeName="Sheet12"/>
  <dimension ref="B2:M10"/>
  <sheetViews>
    <sheetView showGridLines="0" workbookViewId="0">
      <selection activeCell="B1" sqref="B1"/>
    </sheetView>
  </sheetViews>
  <sheetFormatPr defaultRowHeight="16.5"/>
  <cols>
    <col min="1" max="1" width="3.25" customWidth="1"/>
    <col min="2" max="2" width="24.625" customWidth="1"/>
    <col min="3" max="3" width="10.625" customWidth="1"/>
    <col min="4" max="4" width="11.625" bestFit="1" customWidth="1"/>
    <col min="5" max="5" width="9.375" bestFit="1" customWidth="1"/>
    <col min="6" max="6" width="14.875" bestFit="1" customWidth="1"/>
    <col min="7" max="7" width="4" customWidth="1"/>
    <col min="8" max="8" width="4.375" customWidth="1"/>
    <col min="9" max="29" width="7.375" customWidth="1"/>
  </cols>
  <sheetData>
    <row r="2" spans="2:13" ht="33" customHeight="1">
      <c r="B2" s="27" t="s">
        <v>48</v>
      </c>
    </row>
    <row r="3" spans="2:13" ht="26.25" customHeight="1">
      <c r="B3" t="s">
        <v>61</v>
      </c>
    </row>
    <row r="4" spans="2:13" ht="26.25" customHeight="1">
      <c r="B4" s="29" t="s">
        <v>60</v>
      </c>
    </row>
    <row r="5" spans="2:13" ht="33">
      <c r="B5" s="1" t="s">
        <v>49</v>
      </c>
      <c r="C5" s="10" t="s">
        <v>58</v>
      </c>
      <c r="D5" s="10" t="s">
        <v>63</v>
      </c>
      <c r="E5" s="10" t="s">
        <v>59</v>
      </c>
      <c r="F5" s="1" t="s">
        <v>3</v>
      </c>
      <c r="I5" s="16"/>
      <c r="J5" s="16"/>
      <c r="K5" s="16"/>
      <c r="L5" s="16"/>
      <c r="M5" s="16"/>
    </row>
    <row r="6" spans="2:13" ht="21" customHeight="1">
      <c r="B6" s="2" t="s">
        <v>62</v>
      </c>
      <c r="C6" s="2" t="s">
        <v>50</v>
      </c>
      <c r="D6" s="2"/>
      <c r="E6" s="4" t="s">
        <v>2</v>
      </c>
      <c r="F6" s="2"/>
      <c r="I6" s="16"/>
      <c r="J6" s="16"/>
      <c r="K6" s="16"/>
      <c r="L6" s="16"/>
      <c r="M6" s="16"/>
    </row>
    <row r="7" spans="2:13" ht="21" customHeight="1">
      <c r="B7" s="2" t="s">
        <v>54</v>
      </c>
      <c r="C7" s="2" t="s">
        <v>51</v>
      </c>
      <c r="D7" s="2"/>
      <c r="E7" s="4" t="s">
        <v>2</v>
      </c>
      <c r="F7" s="2"/>
      <c r="I7" s="16"/>
      <c r="J7" s="16"/>
      <c r="K7" s="16"/>
      <c r="L7" s="16"/>
      <c r="M7" s="16"/>
    </row>
    <row r="8" spans="2:13" ht="21" customHeight="1">
      <c r="B8" s="24" t="s">
        <v>55</v>
      </c>
      <c r="C8" s="25" t="s">
        <v>52</v>
      </c>
      <c r="D8" s="228" t="s">
        <v>64</v>
      </c>
      <c r="E8" s="24">
        <v>-2</v>
      </c>
      <c r="F8" s="24" t="s">
        <v>65</v>
      </c>
      <c r="I8" s="16"/>
      <c r="J8" s="16"/>
      <c r="K8" s="16"/>
      <c r="L8" s="16"/>
      <c r="M8" s="16"/>
    </row>
    <row r="9" spans="2:13" ht="21" customHeight="1">
      <c r="B9" s="24" t="s">
        <v>56</v>
      </c>
      <c r="C9" s="26" t="s">
        <v>53</v>
      </c>
      <c r="D9" s="228"/>
      <c r="E9" s="24">
        <v>-1</v>
      </c>
      <c r="F9" s="24" t="s">
        <v>66</v>
      </c>
      <c r="I9" s="16"/>
      <c r="J9" s="16"/>
      <c r="K9" s="16"/>
      <c r="L9" s="16"/>
      <c r="M9" s="16"/>
    </row>
    <row r="10" spans="2:13" ht="21" customHeight="1">
      <c r="B10" s="24" t="s">
        <v>57</v>
      </c>
      <c r="C10" s="26" t="s">
        <v>52</v>
      </c>
      <c r="D10" s="228"/>
      <c r="E10" s="24">
        <v>-2</v>
      </c>
      <c r="F10" s="28"/>
      <c r="I10" s="16"/>
      <c r="J10" s="16"/>
      <c r="K10" s="16"/>
      <c r="L10" s="16"/>
      <c r="M10" s="16"/>
    </row>
  </sheetData>
  <mergeCells count="1">
    <mergeCell ref="D8:D10"/>
  </mergeCells>
  <phoneticPr fontId="2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FE674-85CC-4256-B653-FE6B0C359977}">
  <sheetPr codeName="Sheet13"/>
  <dimension ref="B2:J15"/>
  <sheetViews>
    <sheetView workbookViewId="0">
      <selection activeCell="B1" sqref="B1"/>
    </sheetView>
  </sheetViews>
  <sheetFormatPr defaultRowHeight="16.5"/>
  <cols>
    <col min="1" max="1" width="3" customWidth="1"/>
    <col min="7" max="7" width="3.25" customWidth="1"/>
  </cols>
  <sheetData>
    <row r="2" spans="2:10" ht="20.25">
      <c r="B2" s="27" t="s">
        <v>70</v>
      </c>
    </row>
    <row r="3" spans="2:10" ht="19.5" customHeight="1"/>
    <row r="4" spans="2:10" ht="19.5" customHeight="1">
      <c r="B4" s="53"/>
      <c r="C4" s="2" t="s">
        <v>67</v>
      </c>
      <c r="D4" s="2" t="s">
        <v>68</v>
      </c>
      <c r="F4" s="2" t="s">
        <v>75</v>
      </c>
      <c r="H4" s="3" t="s">
        <v>49</v>
      </c>
      <c r="I4" s="2" t="s">
        <v>4</v>
      </c>
      <c r="J4" s="2" t="s">
        <v>47</v>
      </c>
    </row>
    <row r="5" spans="2:10" ht="19.5" customHeight="1">
      <c r="B5" s="2" t="s">
        <v>69</v>
      </c>
      <c r="C5" s="2" t="s">
        <v>71</v>
      </c>
      <c r="D5" s="2" t="s">
        <v>73</v>
      </c>
      <c r="F5" s="2">
        <v>10</v>
      </c>
      <c r="H5" s="3" t="s">
        <v>71</v>
      </c>
      <c r="I5" s="4" t="s">
        <v>2</v>
      </c>
      <c r="J5" s="2"/>
    </row>
    <row r="6" spans="2:10" ht="19.5" customHeight="1">
      <c r="B6" s="2" t="s">
        <v>315</v>
      </c>
      <c r="C6" s="2" t="s">
        <v>72</v>
      </c>
      <c r="D6" s="2" t="s">
        <v>74</v>
      </c>
      <c r="F6" s="2">
        <v>80</v>
      </c>
      <c r="H6" s="3" t="s">
        <v>72</v>
      </c>
      <c r="I6" s="4" t="s">
        <v>2</v>
      </c>
      <c r="J6" s="2"/>
    </row>
    <row r="7" spans="2:10" ht="19.5" customHeight="1">
      <c r="F7" s="2">
        <v>90</v>
      </c>
      <c r="H7" s="2" t="s">
        <v>76</v>
      </c>
      <c r="I7" s="2">
        <v>2</v>
      </c>
      <c r="J7" s="2"/>
    </row>
    <row r="8" spans="2:10" ht="19.5" customHeight="1">
      <c r="F8" s="2">
        <v>58</v>
      </c>
      <c r="H8" s="2" t="s">
        <v>74</v>
      </c>
      <c r="I8" s="2">
        <v>2</v>
      </c>
      <c r="J8" s="2"/>
    </row>
    <row r="9" spans="2:10" ht="19.5" customHeight="1">
      <c r="F9" s="2">
        <v>72</v>
      </c>
    </row>
    <row r="10" spans="2:10" ht="19.5" customHeight="1">
      <c r="F10" s="2">
        <v>97</v>
      </c>
      <c r="H10" s="3" t="s">
        <v>78</v>
      </c>
      <c r="I10" s="3" t="s">
        <v>77</v>
      </c>
    </row>
    <row r="11" spans="2:10" ht="19.5" customHeight="1">
      <c r="F11" s="2">
        <v>68</v>
      </c>
      <c r="H11" s="2">
        <v>1</v>
      </c>
      <c r="I11" s="6"/>
    </row>
    <row r="12" spans="2:10" ht="19.5" customHeight="1">
      <c r="F12" s="2">
        <v>100</v>
      </c>
      <c r="H12" s="2">
        <v>2</v>
      </c>
      <c r="I12" s="6"/>
    </row>
    <row r="13" spans="2:10" ht="19.5" customHeight="1">
      <c r="F13" s="2">
        <v>88</v>
      </c>
      <c r="H13" s="2">
        <v>3</v>
      </c>
      <c r="I13" s="6"/>
    </row>
    <row r="14" spans="2:10" ht="19.5" customHeight="1">
      <c r="F14" s="2">
        <v>92</v>
      </c>
      <c r="H14" s="2">
        <v>4</v>
      </c>
      <c r="I14" s="6"/>
    </row>
    <row r="15" spans="2:10">
      <c r="F15" s="2">
        <v>78</v>
      </c>
      <c r="H15" s="2">
        <v>5</v>
      </c>
      <c r="I15" s="6"/>
    </row>
  </sheetData>
  <phoneticPr fontId="2" type="noConversion"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6E6E49-F2F5-4187-A811-86BADE4D5CB6}">
  <sheetPr codeName="Sheet14"/>
  <dimension ref="A1:U20"/>
  <sheetViews>
    <sheetView showGridLines="0" workbookViewId="0">
      <selection activeCell="B1" sqref="B1"/>
    </sheetView>
  </sheetViews>
  <sheetFormatPr defaultRowHeight="16.5"/>
  <cols>
    <col min="1" max="1" width="3.125" customWidth="1"/>
    <col min="2" max="2" width="2.375" customWidth="1"/>
    <col min="3" max="3" width="10.5" customWidth="1"/>
    <col min="4" max="4" width="2.75" customWidth="1"/>
    <col min="5" max="5" width="14.125" bestFit="1" customWidth="1"/>
    <col min="9" max="9" width="7.25" customWidth="1"/>
    <col min="10" max="10" width="2" customWidth="1"/>
    <col min="11" max="11" width="1.875" customWidth="1"/>
    <col min="12" max="12" width="13.75" bestFit="1" customWidth="1"/>
    <col min="14" max="14" width="2.625" customWidth="1"/>
    <col min="15" max="15" width="5.25" bestFit="1" customWidth="1"/>
    <col min="20" max="20" width="10.875" bestFit="1" customWidth="1"/>
    <col min="21" max="21" width="2.875" customWidth="1"/>
  </cols>
  <sheetData>
    <row r="1" spans="1:21" ht="17.25" thickBot="1">
      <c r="A1" s="30"/>
      <c r="B1" s="30"/>
    </row>
    <row r="2" spans="1:21" ht="15.75" customHeight="1">
      <c r="B2" s="19"/>
      <c r="C2" s="61"/>
      <c r="D2" s="61"/>
      <c r="E2" s="61"/>
      <c r="F2" s="61"/>
      <c r="G2" s="61"/>
      <c r="H2" s="61"/>
      <c r="I2" s="61"/>
      <c r="J2" s="20"/>
      <c r="L2" s="59" t="s">
        <v>247</v>
      </c>
      <c r="M2" s="60"/>
      <c r="N2" s="61"/>
      <c r="O2" s="61"/>
      <c r="P2" s="61"/>
      <c r="Q2" s="61"/>
      <c r="R2" s="61"/>
      <c r="S2" s="61"/>
      <c r="T2" s="61"/>
      <c r="U2" s="20"/>
    </row>
    <row r="3" spans="1:21">
      <c r="B3" s="11"/>
      <c r="C3" s="31" t="s">
        <v>232</v>
      </c>
      <c r="D3" s="12"/>
      <c r="E3" s="31" t="s">
        <v>233</v>
      </c>
      <c r="F3" s="31" t="s">
        <v>229</v>
      </c>
      <c r="G3" s="215" t="s">
        <v>234</v>
      </c>
      <c r="H3" s="215"/>
      <c r="I3" s="215"/>
      <c r="J3" s="63"/>
      <c r="L3" s="37" t="s">
        <v>248</v>
      </c>
      <c r="M3" s="31" t="s">
        <v>249</v>
      </c>
      <c r="N3" s="12"/>
      <c r="O3" s="55" t="s">
        <v>259</v>
      </c>
      <c r="P3" s="55" t="s">
        <v>260</v>
      </c>
      <c r="Q3" s="55" t="s">
        <v>261</v>
      </c>
      <c r="R3" s="55" t="s">
        <v>262</v>
      </c>
      <c r="S3" s="55" t="s">
        <v>220</v>
      </c>
      <c r="T3" s="55" t="s">
        <v>263</v>
      </c>
      <c r="U3" s="13"/>
    </row>
    <row r="4" spans="1:21">
      <c r="B4" s="11"/>
      <c r="C4" s="6">
        <v>100</v>
      </c>
      <c r="D4" s="12"/>
      <c r="E4" s="33" t="s">
        <v>235</v>
      </c>
      <c r="F4" s="6"/>
      <c r="G4" s="221"/>
      <c r="H4" s="221"/>
      <c r="I4" s="221"/>
      <c r="J4" s="63"/>
      <c r="L4" s="62" t="s">
        <v>250</v>
      </c>
      <c r="M4" s="46">
        <v>23000</v>
      </c>
      <c r="N4" s="12"/>
      <c r="O4" s="56">
        <v>1</v>
      </c>
      <c r="P4" s="56" t="s">
        <v>246</v>
      </c>
      <c r="Q4" s="56" t="s">
        <v>128</v>
      </c>
      <c r="R4" s="6">
        <v>10</v>
      </c>
      <c r="S4" s="57">
        <f t="shared" ref="S4:S10" si="0">IFERROR(VLOOKUP(P4&amp;" / "&amp;Q4,$L$4:$M$12,2,0),"")</f>
        <v>20000</v>
      </c>
      <c r="T4" s="58">
        <f>IFERROR(R4*S4,"")</f>
        <v>200000</v>
      </c>
      <c r="U4" s="13"/>
    </row>
    <row r="5" spans="1:21">
      <c r="B5" s="11"/>
      <c r="C5" s="6">
        <v>20</v>
      </c>
      <c r="D5" s="12"/>
      <c r="E5" s="33" t="s">
        <v>236</v>
      </c>
      <c r="F5" s="6"/>
      <c r="G5" s="221"/>
      <c r="H5" s="221"/>
      <c r="I5" s="221"/>
      <c r="J5" s="63"/>
      <c r="L5" s="62" t="s">
        <v>251</v>
      </c>
      <c r="M5" s="46">
        <v>25000</v>
      </c>
      <c r="N5" s="12"/>
      <c r="O5" s="56">
        <v>2</v>
      </c>
      <c r="P5" s="56" t="s">
        <v>130</v>
      </c>
      <c r="Q5" s="56" t="s">
        <v>134</v>
      </c>
      <c r="R5" s="6">
        <v>30</v>
      </c>
      <c r="S5" s="57">
        <f t="shared" si="0"/>
        <v>30000</v>
      </c>
      <c r="T5" s="58">
        <f t="shared" ref="T5:T9" si="1">IFERROR(R5*S5,"")</f>
        <v>900000</v>
      </c>
      <c r="U5" s="13"/>
    </row>
    <row r="6" spans="1:21">
      <c r="B6" s="11"/>
      <c r="C6" s="6">
        <v>50</v>
      </c>
      <c r="D6" s="12"/>
      <c r="E6" s="33" t="s">
        <v>237</v>
      </c>
      <c r="F6" s="6"/>
      <c r="G6" s="221"/>
      <c r="H6" s="221"/>
      <c r="I6" s="221"/>
      <c r="J6" s="63"/>
      <c r="L6" s="62" t="s">
        <v>252</v>
      </c>
      <c r="M6" s="46">
        <v>30000</v>
      </c>
      <c r="N6" s="12"/>
      <c r="O6" s="56">
        <v>3</v>
      </c>
      <c r="P6" s="56" t="s">
        <v>127</v>
      </c>
      <c r="Q6" s="56" t="s">
        <v>128</v>
      </c>
      <c r="R6" s="6">
        <v>50</v>
      </c>
      <c r="S6" s="57">
        <f t="shared" si="0"/>
        <v>37000</v>
      </c>
      <c r="T6" s="58">
        <f t="shared" si="1"/>
        <v>1850000</v>
      </c>
      <c r="U6" s="13"/>
    </row>
    <row r="7" spans="1:21">
      <c r="B7" s="11"/>
      <c r="C7" s="6" t="s">
        <v>238</v>
      </c>
      <c r="D7" s="12"/>
      <c r="E7" s="221" t="s">
        <v>239</v>
      </c>
      <c r="F7" s="6"/>
      <c r="G7" s="221" t="s">
        <v>240</v>
      </c>
      <c r="H7" s="221"/>
      <c r="I7" s="221"/>
      <c r="J7" s="63"/>
      <c r="L7" s="62" t="s">
        <v>253</v>
      </c>
      <c r="M7" s="46">
        <v>18000</v>
      </c>
      <c r="N7" s="12"/>
      <c r="O7" s="56">
        <v>4</v>
      </c>
      <c r="P7" s="56" t="s">
        <v>130</v>
      </c>
      <c r="Q7" s="56" t="s">
        <v>123</v>
      </c>
      <c r="R7" s="6">
        <v>25</v>
      </c>
      <c r="S7" s="57">
        <f t="shared" si="0"/>
        <v>23000</v>
      </c>
      <c r="T7" s="58">
        <f>IFERROR(R7*S7,"")</f>
        <v>575000</v>
      </c>
      <c r="U7" s="13"/>
    </row>
    <row r="8" spans="1:21">
      <c r="B8" s="11"/>
      <c r="C8" s="6"/>
      <c r="D8" s="12"/>
      <c r="E8" s="221"/>
      <c r="F8" s="6"/>
      <c r="G8" s="221" t="s">
        <v>241</v>
      </c>
      <c r="H8" s="221"/>
      <c r="I8" s="221"/>
      <c r="J8" s="63"/>
      <c r="L8" s="62" t="s">
        <v>254</v>
      </c>
      <c r="M8" s="46">
        <v>20000</v>
      </c>
      <c r="N8" s="12"/>
      <c r="O8" s="56">
        <v>5</v>
      </c>
      <c r="P8" s="56"/>
      <c r="Q8" s="56"/>
      <c r="R8" s="6"/>
      <c r="S8" s="57" t="str">
        <f t="shared" si="0"/>
        <v/>
      </c>
      <c r="T8" s="58" t="str">
        <f t="shared" si="1"/>
        <v/>
      </c>
      <c r="U8" s="13"/>
    </row>
    <row r="9" spans="1:21">
      <c r="B9" s="11"/>
      <c r="C9" s="6">
        <v>30</v>
      </c>
      <c r="D9" s="12"/>
      <c r="E9" s="221"/>
      <c r="F9" s="6"/>
      <c r="G9" s="221" t="s">
        <v>242</v>
      </c>
      <c r="H9" s="221"/>
      <c r="I9" s="221"/>
      <c r="J9" s="63"/>
      <c r="L9" s="62" t="s">
        <v>255</v>
      </c>
      <c r="M9" s="46">
        <v>23000</v>
      </c>
      <c r="N9" s="12"/>
      <c r="O9" s="56">
        <v>6</v>
      </c>
      <c r="P9" s="56"/>
      <c r="Q9" s="56"/>
      <c r="R9" s="6"/>
      <c r="S9" s="57" t="str">
        <f t="shared" si="0"/>
        <v/>
      </c>
      <c r="T9" s="58" t="str">
        <f t="shared" si="1"/>
        <v/>
      </c>
      <c r="U9" s="13"/>
    </row>
    <row r="10" spans="1:21">
      <c r="B10" s="11"/>
      <c r="C10" s="6"/>
      <c r="D10" s="12"/>
      <c r="E10" s="33" t="s">
        <v>243</v>
      </c>
      <c r="F10" s="6"/>
      <c r="G10" s="221" t="s">
        <v>244</v>
      </c>
      <c r="H10" s="221"/>
      <c r="I10" s="221"/>
      <c r="J10" s="13"/>
      <c r="L10" s="62" t="s">
        <v>256</v>
      </c>
      <c r="M10" s="46">
        <v>34000</v>
      </c>
      <c r="N10" s="12"/>
      <c r="O10" s="56">
        <v>7</v>
      </c>
      <c r="P10" s="56"/>
      <c r="Q10" s="56"/>
      <c r="R10" s="6"/>
      <c r="S10" s="57" t="str">
        <f t="shared" si="0"/>
        <v/>
      </c>
      <c r="T10" s="58" t="str">
        <f>IFERROR(R10*S10,"")</f>
        <v/>
      </c>
      <c r="U10" s="13"/>
    </row>
    <row r="11" spans="1:21">
      <c r="B11" s="11"/>
      <c r="C11" s="54" t="s">
        <v>238</v>
      </c>
      <c r="D11" s="12"/>
      <c r="E11" s="12"/>
      <c r="F11" s="12"/>
      <c r="G11" s="9"/>
      <c r="H11" s="12"/>
      <c r="I11" s="12"/>
      <c r="J11" s="13"/>
      <c r="L11" s="62" t="s">
        <v>257</v>
      </c>
      <c r="M11" s="46">
        <v>37000</v>
      </c>
      <c r="N11" s="12"/>
      <c r="O11" s="12"/>
      <c r="P11" s="12"/>
      <c r="Q11" s="12"/>
      <c r="R11" s="12"/>
      <c r="S11" s="12"/>
      <c r="T11" s="12"/>
      <c r="U11" s="13"/>
    </row>
    <row r="12" spans="1:21">
      <c r="B12" s="11"/>
      <c r="C12" s="6" t="s">
        <v>245</v>
      </c>
      <c r="D12" s="12"/>
      <c r="E12" s="12"/>
      <c r="F12" s="12"/>
      <c r="G12" s="9"/>
      <c r="H12" s="12"/>
      <c r="I12" s="12"/>
      <c r="J12" s="13"/>
      <c r="L12" s="62" t="s">
        <v>258</v>
      </c>
      <c r="M12" s="46">
        <v>42000</v>
      </c>
      <c r="N12" s="12"/>
      <c r="O12" s="12"/>
      <c r="P12" s="12"/>
      <c r="Q12" s="12"/>
      <c r="R12" s="215" t="s">
        <v>264</v>
      </c>
      <c r="S12" s="215"/>
      <c r="T12" s="6"/>
      <c r="U12" s="13"/>
    </row>
    <row r="13" spans="1:21" ht="17.25" thickBot="1">
      <c r="B13" s="21"/>
      <c r="C13" s="22"/>
      <c r="D13" s="22"/>
      <c r="E13" s="22"/>
      <c r="F13" s="22"/>
      <c r="G13" s="22"/>
      <c r="H13" s="22"/>
      <c r="I13" s="22"/>
      <c r="J13" s="23"/>
      <c r="L13" s="11"/>
      <c r="M13" s="12"/>
      <c r="N13" s="12"/>
      <c r="O13" s="12"/>
      <c r="P13" s="12"/>
      <c r="Q13" s="12"/>
      <c r="R13" s="215" t="s">
        <v>265</v>
      </c>
      <c r="S13" s="215"/>
      <c r="T13" s="6"/>
      <c r="U13" s="13"/>
    </row>
    <row r="14" spans="1:21">
      <c r="L14" s="11"/>
      <c r="M14" s="12"/>
      <c r="N14" s="12"/>
      <c r="O14" s="12"/>
      <c r="P14" s="12"/>
      <c r="Q14" s="12"/>
      <c r="R14" s="215" t="s">
        <v>266</v>
      </c>
      <c r="S14" s="215"/>
      <c r="T14" s="6"/>
      <c r="U14" s="13"/>
    </row>
    <row r="15" spans="1:21" ht="17.25" thickBot="1">
      <c r="L15" s="21"/>
      <c r="M15" s="22"/>
      <c r="N15" s="22"/>
      <c r="O15" s="22"/>
      <c r="P15" s="22"/>
      <c r="Q15" s="22"/>
      <c r="R15" s="22"/>
      <c r="S15" s="22"/>
      <c r="T15" s="22"/>
      <c r="U15" s="23"/>
    </row>
    <row r="20" ht="16.5" customHeight="1"/>
  </sheetData>
  <mergeCells count="12">
    <mergeCell ref="R12:S12"/>
    <mergeCell ref="R13:S13"/>
    <mergeCell ref="R14:S14"/>
    <mergeCell ref="G3:I3"/>
    <mergeCell ref="G4:I4"/>
    <mergeCell ref="G5:I5"/>
    <mergeCell ref="G6:I6"/>
    <mergeCell ref="E7:E9"/>
    <mergeCell ref="G7:I7"/>
    <mergeCell ref="G8:I8"/>
    <mergeCell ref="G9:I9"/>
    <mergeCell ref="G10:I10"/>
  </mergeCells>
  <phoneticPr fontId="2" type="noConversion"/>
  <dataValidations count="3">
    <dataValidation type="list" allowBlank="1" showInputMessage="1" showErrorMessage="1" sqref="Q5:Q6 Q8:Q10" xr:uid="{D99FB6A7-0F19-4E4C-964C-996256792ED2}">
      <formula1>규격</formula1>
    </dataValidation>
    <dataValidation type="list" allowBlank="1" showInputMessage="1" showErrorMessage="1" sqref="P4:P10" xr:uid="{E7869C17-7CD3-4BA0-AFB3-F3C717D5CFA9}">
      <formula1>"AM-100,BM-100,CM-100"</formula1>
    </dataValidation>
    <dataValidation type="list" allowBlank="1" showInputMessage="1" showErrorMessage="1" sqref="Q4 Q7" xr:uid="{C79D706B-F432-45BD-AC5F-5EDB9F9D0273}">
      <formula1>"10K,20K,30K"</formula1>
    </dataValidation>
  </dataValidations>
  <pageMargins left="0.7" right="0.7" top="0.75" bottom="0.75" header="0.3" footer="0.3"/>
  <pageSetup paperSize="9" orientation="portrait" horizontalDpi="0" verticalDpi="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471ED-8D9A-4D7C-9273-26748861CFE3}">
  <sheetPr codeName="Sheet16"/>
  <dimension ref="B2:K11"/>
  <sheetViews>
    <sheetView workbookViewId="0">
      <selection activeCell="B1" sqref="B1"/>
    </sheetView>
  </sheetViews>
  <sheetFormatPr defaultRowHeight="16.5"/>
  <cols>
    <col min="1" max="1" width="3.125" customWidth="1"/>
    <col min="2" max="2" width="11.125" bestFit="1" customWidth="1"/>
    <col min="3" max="3" width="8.25" bestFit="1" customWidth="1"/>
    <col min="4" max="4" width="9.25" bestFit="1" customWidth="1"/>
    <col min="5" max="5" width="7.125" bestFit="1" customWidth="1"/>
    <col min="6" max="6" width="9.375" bestFit="1" customWidth="1"/>
    <col min="7" max="7" width="2.625" customWidth="1"/>
    <col min="8" max="11" width="16.625" customWidth="1"/>
  </cols>
  <sheetData>
    <row r="2" spans="2:11">
      <c r="B2" s="31" t="s">
        <v>267</v>
      </c>
      <c r="C2" s="31" t="s">
        <v>268</v>
      </c>
      <c r="D2" s="31" t="s">
        <v>269</v>
      </c>
      <c r="E2" s="31" t="s">
        <v>270</v>
      </c>
      <c r="F2" s="31" t="s">
        <v>271</v>
      </c>
      <c r="H2" s="215" t="s">
        <v>272</v>
      </c>
      <c r="I2" s="215"/>
      <c r="J2" s="215" t="s">
        <v>273</v>
      </c>
      <c r="K2" s="215"/>
    </row>
    <row r="3" spans="2:11">
      <c r="B3" s="45">
        <v>43344</v>
      </c>
      <c r="C3" s="33" t="s">
        <v>130</v>
      </c>
      <c r="D3" s="33" t="s">
        <v>274</v>
      </c>
      <c r="E3" s="33" t="s">
        <v>275</v>
      </c>
      <c r="F3" s="64">
        <v>27000</v>
      </c>
      <c r="H3" s="31" t="s">
        <v>276</v>
      </c>
      <c r="I3" s="65"/>
      <c r="J3" s="31" t="s">
        <v>277</v>
      </c>
      <c r="K3" s="65"/>
    </row>
    <row r="4" spans="2:11">
      <c r="B4" s="45">
        <v>43345</v>
      </c>
      <c r="C4" s="33" t="s">
        <v>125</v>
      </c>
      <c r="D4" s="33" t="s">
        <v>278</v>
      </c>
      <c r="E4" s="33" t="s">
        <v>279</v>
      </c>
      <c r="F4" s="64">
        <v>30000</v>
      </c>
    </row>
    <row r="5" spans="2:11">
      <c r="B5" s="45">
        <v>43346</v>
      </c>
      <c r="C5" s="35" t="s">
        <v>280</v>
      </c>
      <c r="D5" s="33" t="s">
        <v>281</v>
      </c>
      <c r="E5" s="33" t="s">
        <v>275</v>
      </c>
      <c r="F5" s="64">
        <v>50000</v>
      </c>
      <c r="H5" s="215" t="s">
        <v>282</v>
      </c>
      <c r="I5" s="215"/>
      <c r="J5" s="215"/>
      <c r="K5" s="6"/>
    </row>
    <row r="6" spans="2:11">
      <c r="B6" s="45">
        <v>43347</v>
      </c>
      <c r="C6" s="33" t="s">
        <v>133</v>
      </c>
      <c r="D6" s="33" t="s">
        <v>283</v>
      </c>
      <c r="E6" s="33" t="s">
        <v>275</v>
      </c>
      <c r="F6" s="64">
        <v>200000</v>
      </c>
    </row>
    <row r="7" spans="2:11">
      <c r="B7" s="45">
        <v>43348</v>
      </c>
      <c r="C7" s="33" t="s">
        <v>284</v>
      </c>
      <c r="D7" s="33" t="s">
        <v>285</v>
      </c>
      <c r="E7" s="33" t="s">
        <v>279</v>
      </c>
      <c r="F7" s="64">
        <v>35000</v>
      </c>
      <c r="H7" s="215" t="s">
        <v>286</v>
      </c>
      <c r="I7" s="31" t="s">
        <v>287</v>
      </c>
      <c r="J7" s="31" t="s">
        <v>278</v>
      </c>
      <c r="K7" s="31" t="s">
        <v>285</v>
      </c>
    </row>
    <row r="8" spans="2:11">
      <c r="B8" s="45">
        <v>43349</v>
      </c>
      <c r="C8" s="33" t="s">
        <v>246</v>
      </c>
      <c r="D8" s="33" t="s">
        <v>278</v>
      </c>
      <c r="E8" s="33" t="s">
        <v>288</v>
      </c>
      <c r="F8" s="64">
        <v>65000</v>
      </c>
      <c r="H8" s="215"/>
      <c r="I8" s="6"/>
      <c r="J8" s="6"/>
      <c r="K8" s="6"/>
    </row>
    <row r="9" spans="2:11">
      <c r="B9" s="45">
        <v>43350</v>
      </c>
      <c r="C9" s="33" t="s">
        <v>289</v>
      </c>
      <c r="D9" s="33" t="s">
        <v>274</v>
      </c>
      <c r="E9" s="33" t="s">
        <v>290</v>
      </c>
      <c r="F9" s="64">
        <v>100000</v>
      </c>
    </row>
    <row r="10" spans="2:11">
      <c r="B10" s="45">
        <v>43351</v>
      </c>
      <c r="C10" s="33" t="s">
        <v>291</v>
      </c>
      <c r="D10" s="33" t="s">
        <v>285</v>
      </c>
      <c r="E10" s="33" t="s">
        <v>292</v>
      </c>
      <c r="F10" s="64">
        <v>150000</v>
      </c>
      <c r="H10" s="31" t="s">
        <v>275</v>
      </c>
      <c r="I10" s="6"/>
    </row>
    <row r="11" spans="2:11">
      <c r="B11" s="45">
        <v>43352</v>
      </c>
      <c r="C11" s="33" t="s">
        <v>293</v>
      </c>
      <c r="D11" s="33" t="s">
        <v>274</v>
      </c>
      <c r="E11" s="33" t="s">
        <v>288</v>
      </c>
      <c r="F11" s="64">
        <v>80000</v>
      </c>
      <c r="H11" s="31" t="s">
        <v>288</v>
      </c>
      <c r="I11" s="6"/>
    </row>
  </sheetData>
  <mergeCells count="4">
    <mergeCell ref="H2:I2"/>
    <mergeCell ref="J2:K2"/>
    <mergeCell ref="H5:J5"/>
    <mergeCell ref="H7:H8"/>
  </mergeCells>
  <phoneticPr fontId="2" type="noConversion"/>
  <dataValidations count="2">
    <dataValidation type="list" allowBlank="1" showInputMessage="1" showErrorMessage="1" sqref="J3" xr:uid="{37164621-D60E-41AF-B9CA-7C1ACD47DB31}">
      <formula1>"한국,독일"</formula1>
    </dataValidation>
    <dataValidation type="list" allowBlank="1" showInputMessage="1" showErrorMessage="1" sqref="H3" xr:uid="{3278967D-19B4-4BBE-AC4F-8385068228C6}">
      <formula1>"LARGE,MEDIUM,SMALL"</formula1>
    </dataValidation>
  </dataValidation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C51091-A470-495A-B1E6-4FDA2817B83A}">
  <sheetPr codeName="Sheet17"/>
  <dimension ref="B2:M11"/>
  <sheetViews>
    <sheetView workbookViewId="0">
      <selection activeCell="B1" sqref="B1"/>
    </sheetView>
  </sheetViews>
  <sheetFormatPr defaultRowHeight="16.5"/>
  <cols>
    <col min="1" max="1" width="2.625" style="81" customWidth="1"/>
    <col min="2" max="2" width="8.25" style="81" bestFit="1" customWidth="1"/>
    <col min="3" max="16384" width="9" style="81"/>
  </cols>
  <sheetData>
    <row r="2" spans="2:13">
      <c r="B2" s="80" t="s">
        <v>317</v>
      </c>
      <c r="C2" s="80" t="s">
        <v>318</v>
      </c>
      <c r="D2" s="80" t="s">
        <v>319</v>
      </c>
      <c r="E2" s="80" t="s">
        <v>320</v>
      </c>
      <c r="F2" s="80" t="s">
        <v>321</v>
      </c>
      <c r="H2" s="80" t="s">
        <v>338</v>
      </c>
      <c r="I2" s="80" t="s">
        <v>340</v>
      </c>
      <c r="L2" s="80" t="s">
        <v>339</v>
      </c>
      <c r="M2" s="80" t="s">
        <v>341</v>
      </c>
    </row>
    <row r="3" spans="2:13">
      <c r="B3" s="82" t="s">
        <v>130</v>
      </c>
      <c r="C3" s="83" t="s">
        <v>322</v>
      </c>
      <c r="D3" s="83" t="s">
        <v>323</v>
      </c>
      <c r="E3" s="83">
        <v>100</v>
      </c>
      <c r="F3" s="84">
        <v>27000</v>
      </c>
      <c r="H3" s="83" t="s">
        <v>276</v>
      </c>
      <c r="I3" s="83"/>
      <c r="L3" s="83" t="s">
        <v>277</v>
      </c>
      <c r="M3" s="83"/>
    </row>
    <row r="4" spans="2:13">
      <c r="B4" s="82" t="s">
        <v>125</v>
      </c>
      <c r="C4" s="83" t="s">
        <v>324</v>
      </c>
      <c r="D4" s="83" t="s">
        <v>325</v>
      </c>
      <c r="E4" s="83">
        <v>150</v>
      </c>
      <c r="F4" s="84">
        <v>30000</v>
      </c>
    </row>
    <row r="5" spans="2:13">
      <c r="B5" s="82" t="s">
        <v>326</v>
      </c>
      <c r="C5" s="83" t="s">
        <v>327</v>
      </c>
      <c r="D5" s="83" t="s">
        <v>328</v>
      </c>
      <c r="E5" s="83">
        <v>180</v>
      </c>
      <c r="F5" s="84">
        <v>50000</v>
      </c>
      <c r="H5" s="81" t="s">
        <v>337</v>
      </c>
    </row>
    <row r="6" spans="2:13">
      <c r="B6" s="82" t="s">
        <v>133</v>
      </c>
      <c r="C6" s="83" t="s">
        <v>329</v>
      </c>
      <c r="D6" s="83" t="s">
        <v>323</v>
      </c>
      <c r="E6" s="83">
        <v>80</v>
      </c>
      <c r="F6" s="84">
        <v>200000</v>
      </c>
      <c r="H6" s="85"/>
      <c r="I6" s="85"/>
      <c r="J6" s="85"/>
      <c r="K6" s="85"/>
    </row>
    <row r="7" spans="2:13">
      <c r="B7" s="82" t="s">
        <v>330</v>
      </c>
      <c r="C7" s="83" t="s">
        <v>329</v>
      </c>
      <c r="D7" s="83" t="s">
        <v>331</v>
      </c>
      <c r="E7" s="83">
        <v>170</v>
      </c>
      <c r="F7" s="84">
        <v>35000</v>
      </c>
      <c r="H7" s="86"/>
      <c r="I7" s="86"/>
      <c r="J7" s="86"/>
      <c r="K7" s="86"/>
    </row>
    <row r="8" spans="2:13">
      <c r="B8" s="82" t="s">
        <v>246</v>
      </c>
      <c r="C8" s="83" t="s">
        <v>324</v>
      </c>
      <c r="D8" s="83" t="s">
        <v>279</v>
      </c>
      <c r="E8" s="83">
        <v>60</v>
      </c>
      <c r="F8" s="84">
        <v>65000</v>
      </c>
      <c r="H8" s="86"/>
      <c r="I8" s="86"/>
      <c r="J8" s="86"/>
      <c r="K8" s="86"/>
    </row>
    <row r="9" spans="2:13">
      <c r="B9" s="82" t="s">
        <v>332</v>
      </c>
      <c r="C9" s="83" t="s">
        <v>333</v>
      </c>
      <c r="D9" s="83" t="s">
        <v>323</v>
      </c>
      <c r="E9" s="83">
        <v>90</v>
      </c>
      <c r="F9" s="84">
        <v>100000</v>
      </c>
    </row>
    <row r="10" spans="2:13">
      <c r="B10" s="82" t="s">
        <v>334</v>
      </c>
      <c r="C10" s="83" t="s">
        <v>335</v>
      </c>
      <c r="D10" s="83" t="s">
        <v>323</v>
      </c>
      <c r="E10" s="83">
        <v>120</v>
      </c>
      <c r="F10" s="84">
        <v>150000</v>
      </c>
    </row>
    <row r="11" spans="2:13">
      <c r="B11" s="82" t="s">
        <v>336</v>
      </c>
      <c r="C11" s="83" t="s">
        <v>333</v>
      </c>
      <c r="D11" s="83" t="s">
        <v>331</v>
      </c>
      <c r="E11" s="83">
        <v>110</v>
      </c>
      <c r="F11" s="84">
        <v>80000</v>
      </c>
    </row>
  </sheetData>
  <phoneticPr fontId="2" type="noConversion"/>
  <dataValidations count="2">
    <dataValidation type="list" allowBlank="1" showInputMessage="1" showErrorMessage="1" sqref="L3" xr:uid="{E2DBC286-56C9-43BA-A710-891354331E72}">
      <formula1>"한국,독일"</formula1>
    </dataValidation>
    <dataValidation type="list" allowBlank="1" showInputMessage="1" showErrorMessage="1" sqref="H3" xr:uid="{C8DDB40F-6215-4086-9818-3BB9CFFA0451}">
      <formula1>"LARGE,MEDIUM,SMALL"</formula1>
    </dataValidation>
  </dataValidations>
  <pageMargins left="0.7" right="0.7" top="0.75" bottom="0.75" header="0.3" footer="0.3"/>
  <pageSetup paperSize="9" orientation="portrait" horizontalDpi="0" verticalDpi="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01091-A96F-4E46-ABB9-E1014AA8DE47}">
  <sheetPr codeName="Sheet22"/>
  <dimension ref="B2:G18"/>
  <sheetViews>
    <sheetView workbookViewId="0">
      <selection activeCell="B1" sqref="B1"/>
    </sheetView>
  </sheetViews>
  <sheetFormatPr defaultRowHeight="16.5"/>
  <cols>
    <col min="1" max="1" width="3.625" style="72" customWidth="1"/>
    <col min="2" max="2" width="12.5" style="72" customWidth="1"/>
    <col min="3" max="16384" width="9" style="72"/>
  </cols>
  <sheetData>
    <row r="2" spans="2:7">
      <c r="B2" s="71" t="s">
        <v>342</v>
      </c>
      <c r="C2" s="71" t="s">
        <v>268</v>
      </c>
      <c r="D2" s="71" t="s">
        <v>269</v>
      </c>
      <c r="E2" s="71" t="s">
        <v>343</v>
      </c>
      <c r="F2" s="71" t="s">
        <v>320</v>
      </c>
      <c r="G2" s="71" t="s">
        <v>120</v>
      </c>
    </row>
    <row r="3" spans="2:7">
      <c r="B3" s="73">
        <v>43344</v>
      </c>
      <c r="C3" s="74" t="s">
        <v>130</v>
      </c>
      <c r="D3" s="75" t="s">
        <v>76</v>
      </c>
      <c r="E3" s="75" t="s">
        <v>275</v>
      </c>
      <c r="F3" s="75">
        <v>100</v>
      </c>
      <c r="G3" s="76">
        <v>27000</v>
      </c>
    </row>
    <row r="4" spans="2:7">
      <c r="B4" s="73">
        <v>43345</v>
      </c>
      <c r="C4" s="74" t="s">
        <v>125</v>
      </c>
      <c r="D4" s="75" t="s">
        <v>344</v>
      </c>
      <c r="E4" s="75" t="s">
        <v>279</v>
      </c>
      <c r="F4" s="75">
        <v>150</v>
      </c>
      <c r="G4" s="76">
        <v>30000</v>
      </c>
    </row>
    <row r="5" spans="2:7">
      <c r="B5" s="73">
        <v>43346</v>
      </c>
      <c r="C5" s="77" t="s">
        <v>345</v>
      </c>
      <c r="D5" s="75" t="s">
        <v>74</v>
      </c>
      <c r="E5" s="75" t="s">
        <v>346</v>
      </c>
      <c r="F5" s="75">
        <v>180</v>
      </c>
      <c r="G5" s="76">
        <v>50000</v>
      </c>
    </row>
    <row r="6" spans="2:7">
      <c r="B6" s="73">
        <v>43347</v>
      </c>
      <c r="C6" s="74" t="s">
        <v>133</v>
      </c>
      <c r="D6" s="75" t="s">
        <v>283</v>
      </c>
      <c r="E6" s="75" t="s">
        <v>347</v>
      </c>
      <c r="F6" s="75">
        <v>80</v>
      </c>
      <c r="G6" s="76">
        <v>200000</v>
      </c>
    </row>
    <row r="7" spans="2:7">
      <c r="B7" s="73">
        <v>43348</v>
      </c>
      <c r="C7" s="74" t="s">
        <v>348</v>
      </c>
      <c r="D7" s="75" t="s">
        <v>283</v>
      </c>
      <c r="E7" s="75" t="s">
        <v>349</v>
      </c>
      <c r="F7" s="75">
        <v>170</v>
      </c>
      <c r="G7" s="76">
        <v>35000</v>
      </c>
    </row>
    <row r="8" spans="2:7">
      <c r="B8" s="73">
        <v>43349</v>
      </c>
      <c r="C8" s="74" t="s">
        <v>246</v>
      </c>
      <c r="D8" s="75" t="s">
        <v>74</v>
      </c>
      <c r="E8" s="75" t="s">
        <v>279</v>
      </c>
      <c r="F8" s="75">
        <v>60</v>
      </c>
      <c r="G8" s="76">
        <v>65000</v>
      </c>
    </row>
    <row r="9" spans="2:7">
      <c r="B9" s="73">
        <v>43350</v>
      </c>
      <c r="C9" s="74" t="s">
        <v>332</v>
      </c>
      <c r="D9" s="75" t="s">
        <v>76</v>
      </c>
      <c r="E9" s="75" t="s">
        <v>346</v>
      </c>
      <c r="F9" s="75">
        <v>90</v>
      </c>
      <c r="G9" s="76">
        <v>100000</v>
      </c>
    </row>
    <row r="10" spans="2:7">
      <c r="B10" s="73">
        <v>43351</v>
      </c>
      <c r="C10" s="74" t="s">
        <v>334</v>
      </c>
      <c r="D10" s="75" t="s">
        <v>283</v>
      </c>
      <c r="E10" s="75" t="s">
        <v>347</v>
      </c>
      <c r="F10" s="75">
        <v>120</v>
      </c>
      <c r="G10" s="76">
        <v>150000</v>
      </c>
    </row>
    <row r="11" spans="2:7">
      <c r="B11" s="73">
        <v>43352</v>
      </c>
      <c r="C11" s="74" t="s">
        <v>336</v>
      </c>
      <c r="D11" s="75" t="s">
        <v>76</v>
      </c>
      <c r="E11" s="75" t="s">
        <v>279</v>
      </c>
      <c r="F11" s="75">
        <v>110</v>
      </c>
      <c r="G11" s="76">
        <v>80000</v>
      </c>
    </row>
    <row r="13" spans="2:7">
      <c r="B13" s="229" t="s">
        <v>350</v>
      </c>
      <c r="C13" s="229"/>
      <c r="D13" s="229"/>
      <c r="E13" s="88"/>
    </row>
    <row r="14" spans="2:7">
      <c r="B14" s="229"/>
      <c r="C14" s="229"/>
      <c r="D14" s="229"/>
      <c r="E14" s="75"/>
    </row>
    <row r="15" spans="2:7">
      <c r="B15"/>
      <c r="C15"/>
    </row>
    <row r="17" spans="2:6">
      <c r="B17" s="230" t="s">
        <v>351</v>
      </c>
      <c r="C17" s="230"/>
      <c r="D17" s="230"/>
      <c r="E17" s="88"/>
      <c r="F17" s="87"/>
    </row>
    <row r="18" spans="2:6">
      <c r="B18" s="230"/>
      <c r="C18" s="230"/>
      <c r="D18" s="230"/>
      <c r="E18" s="88"/>
    </row>
  </sheetData>
  <mergeCells count="2">
    <mergeCell ref="B13:D14"/>
    <mergeCell ref="B17:D18"/>
  </mergeCells>
  <phoneticPr fontId="2" type="noConversion"/>
  <pageMargins left="0.7" right="0.7" top="0.75" bottom="0.75" header="0.3" footer="0.3"/>
  <pageSetup paperSize="9" orientation="portrait" horizontalDpi="0" verticalDpi="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36567C-039A-477E-BE7A-C31C058248B6}">
  <sheetPr codeName="Sheet23"/>
  <dimension ref="B2:L11"/>
  <sheetViews>
    <sheetView workbookViewId="0">
      <selection activeCell="B1" sqref="B1"/>
    </sheetView>
  </sheetViews>
  <sheetFormatPr defaultRowHeight="16.5"/>
  <cols>
    <col min="1" max="1" width="3.5" style="93" customWidth="1"/>
    <col min="2" max="2" width="11.125" style="93" bestFit="1" customWidth="1"/>
    <col min="3" max="7" width="9" style="93"/>
    <col min="8" max="8" width="2.375" style="93" customWidth="1"/>
    <col min="9" max="12" width="11.375" style="93" customWidth="1"/>
    <col min="13" max="16384" width="9" style="93"/>
  </cols>
  <sheetData>
    <row r="2" spans="2:12">
      <c r="B2" s="92" t="s">
        <v>342</v>
      </c>
      <c r="C2" s="92" t="s">
        <v>268</v>
      </c>
      <c r="D2" s="92" t="s">
        <v>269</v>
      </c>
      <c r="E2" s="92" t="s">
        <v>319</v>
      </c>
      <c r="F2" s="92" t="s">
        <v>320</v>
      </c>
      <c r="G2" s="92" t="s">
        <v>120</v>
      </c>
      <c r="I2" s="231" t="s">
        <v>354</v>
      </c>
      <c r="J2" s="231"/>
      <c r="K2" s="231"/>
      <c r="L2" s="94"/>
    </row>
    <row r="3" spans="2:12">
      <c r="B3" s="95">
        <v>43344</v>
      </c>
      <c r="C3" s="96" t="s">
        <v>130</v>
      </c>
      <c r="D3" s="97" t="s">
        <v>76</v>
      </c>
      <c r="E3" s="97" t="s">
        <v>275</v>
      </c>
      <c r="F3" s="97">
        <v>100</v>
      </c>
      <c r="G3" s="98">
        <v>27000</v>
      </c>
      <c r="I3" s="231"/>
      <c r="J3" s="231"/>
      <c r="K3" s="231"/>
      <c r="L3" s="94"/>
    </row>
    <row r="4" spans="2:12">
      <c r="B4" s="95">
        <v>43345</v>
      </c>
      <c r="C4" s="96" t="s">
        <v>125</v>
      </c>
      <c r="D4" s="97" t="s">
        <v>324</v>
      </c>
      <c r="E4" s="97" t="s">
        <v>279</v>
      </c>
      <c r="F4" s="97">
        <v>150</v>
      </c>
      <c r="G4" s="98">
        <v>30000</v>
      </c>
    </row>
    <row r="5" spans="2:12">
      <c r="B5" s="95">
        <v>43346</v>
      </c>
      <c r="C5" s="99" t="s">
        <v>326</v>
      </c>
      <c r="D5" s="97" t="s">
        <v>74</v>
      </c>
      <c r="E5" s="97" t="s">
        <v>290</v>
      </c>
      <c r="F5" s="97">
        <v>180</v>
      </c>
      <c r="G5" s="98">
        <v>50000</v>
      </c>
      <c r="I5" s="96" t="s">
        <v>352</v>
      </c>
    </row>
    <row r="6" spans="2:12">
      <c r="B6" s="95">
        <v>43347</v>
      </c>
      <c r="C6" s="96" t="s">
        <v>133</v>
      </c>
      <c r="D6" s="97" t="s">
        <v>283</v>
      </c>
      <c r="E6" s="97" t="s">
        <v>290</v>
      </c>
      <c r="F6" s="97">
        <v>80</v>
      </c>
      <c r="G6" s="98">
        <v>200000</v>
      </c>
      <c r="I6" s="96" t="s">
        <v>353</v>
      </c>
    </row>
    <row r="7" spans="2:12">
      <c r="B7" s="95">
        <v>43348</v>
      </c>
      <c r="C7" s="96" t="s">
        <v>284</v>
      </c>
      <c r="D7" s="97" t="s">
        <v>283</v>
      </c>
      <c r="E7" s="97" t="s">
        <v>288</v>
      </c>
      <c r="F7" s="97">
        <v>170</v>
      </c>
      <c r="G7" s="98">
        <v>35000</v>
      </c>
    </row>
    <row r="8" spans="2:12">
      <c r="B8" s="95">
        <v>43349</v>
      </c>
      <c r="C8" s="96" t="s">
        <v>246</v>
      </c>
      <c r="D8" s="97" t="s">
        <v>74</v>
      </c>
      <c r="E8" s="97" t="s">
        <v>279</v>
      </c>
      <c r="F8" s="97">
        <v>60</v>
      </c>
      <c r="G8" s="98">
        <v>65000</v>
      </c>
    </row>
    <row r="9" spans="2:12">
      <c r="B9" s="95">
        <v>43350</v>
      </c>
      <c r="C9" s="96" t="s">
        <v>289</v>
      </c>
      <c r="D9" s="97" t="s">
        <v>76</v>
      </c>
      <c r="E9" s="97" t="s">
        <v>290</v>
      </c>
      <c r="F9" s="97">
        <v>90</v>
      </c>
      <c r="G9" s="98">
        <v>100000</v>
      </c>
    </row>
    <row r="10" spans="2:12">
      <c r="B10" s="95">
        <v>43351</v>
      </c>
      <c r="C10" s="96" t="s">
        <v>291</v>
      </c>
      <c r="D10" s="97" t="s">
        <v>283</v>
      </c>
      <c r="E10" s="97" t="s">
        <v>290</v>
      </c>
      <c r="F10" s="97">
        <v>120</v>
      </c>
      <c r="G10" s="98">
        <v>150000</v>
      </c>
    </row>
    <row r="11" spans="2:12">
      <c r="B11" s="95">
        <v>43352</v>
      </c>
      <c r="C11" s="96" t="s">
        <v>293</v>
      </c>
      <c r="D11" s="97" t="s">
        <v>76</v>
      </c>
      <c r="E11" s="97" t="s">
        <v>279</v>
      </c>
      <c r="F11" s="97">
        <v>110</v>
      </c>
      <c r="G11" s="98">
        <v>80000</v>
      </c>
    </row>
  </sheetData>
  <mergeCells count="1">
    <mergeCell ref="I2:K3"/>
  </mergeCells>
  <phoneticPr fontId="2" type="noConversion"/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EFA9E-3142-445E-A255-5540A1D1A130}">
  <sheetPr codeName="Sheet15"/>
  <dimension ref="B2:N23"/>
  <sheetViews>
    <sheetView workbookViewId="0">
      <selection activeCell="B1" sqref="B1"/>
    </sheetView>
  </sheetViews>
  <sheetFormatPr defaultRowHeight="16.5"/>
  <cols>
    <col min="1" max="1" width="3.5" customWidth="1"/>
    <col min="2" max="5" width="7.5" customWidth="1"/>
    <col min="6" max="6" width="3.875" customWidth="1"/>
    <col min="7" max="9" width="7.5" customWidth="1"/>
  </cols>
  <sheetData>
    <row r="2" spans="2:12">
      <c r="B2" s="78" t="s">
        <v>355</v>
      </c>
      <c r="C2" s="78" t="s">
        <v>357</v>
      </c>
      <c r="D2" s="78" t="s">
        <v>358</v>
      </c>
      <c r="E2" s="78" t="s">
        <v>359</v>
      </c>
      <c r="G2" s="78" t="s">
        <v>360</v>
      </c>
      <c r="H2" s="78" t="s">
        <v>356</v>
      </c>
      <c r="I2" s="78" t="s">
        <v>358</v>
      </c>
    </row>
    <row r="3" spans="2:12">
      <c r="B3" s="79" t="s">
        <v>361</v>
      </c>
      <c r="C3" s="79">
        <v>1</v>
      </c>
      <c r="D3" s="65">
        <v>3000</v>
      </c>
      <c r="E3" s="50"/>
      <c r="G3" s="79" t="s">
        <v>362</v>
      </c>
      <c r="H3" s="79">
        <v>1</v>
      </c>
      <c r="I3" s="65">
        <v>3000</v>
      </c>
    </row>
    <row r="4" spans="2:12">
      <c r="B4" s="79" t="s">
        <v>369</v>
      </c>
      <c r="C4" s="79">
        <v>3</v>
      </c>
      <c r="D4" s="65">
        <v>2000</v>
      </c>
      <c r="E4" s="50"/>
      <c r="G4" s="79" t="s">
        <v>370</v>
      </c>
      <c r="H4" s="79">
        <v>3</v>
      </c>
      <c r="I4" s="65">
        <v>2000</v>
      </c>
    </row>
    <row r="5" spans="2:12">
      <c r="B5" s="79" t="s">
        <v>363</v>
      </c>
      <c r="C5" s="79">
        <v>2</v>
      </c>
      <c r="D5" s="65">
        <v>4000</v>
      </c>
      <c r="E5" s="50"/>
      <c r="G5" s="79" t="s">
        <v>363</v>
      </c>
      <c r="H5" s="79">
        <v>2</v>
      </c>
      <c r="I5" s="65">
        <v>4000</v>
      </c>
    </row>
    <row r="6" spans="2:12">
      <c r="B6" s="79" t="s">
        <v>364</v>
      </c>
      <c r="C6" s="79">
        <v>5</v>
      </c>
      <c r="D6" s="65">
        <v>7000</v>
      </c>
      <c r="E6" s="50"/>
      <c r="G6" s="79" t="s">
        <v>365</v>
      </c>
      <c r="H6" s="79">
        <v>5</v>
      </c>
      <c r="I6" s="65">
        <v>7000</v>
      </c>
    </row>
    <row r="7" spans="2:12">
      <c r="B7" s="79" t="s">
        <v>367</v>
      </c>
      <c r="C7" s="79">
        <v>2</v>
      </c>
      <c r="D7" s="65">
        <v>3500</v>
      </c>
      <c r="E7" s="50"/>
      <c r="G7" s="79" t="s">
        <v>366</v>
      </c>
      <c r="H7" s="79">
        <v>2</v>
      </c>
      <c r="I7" s="65">
        <v>3500</v>
      </c>
    </row>
    <row r="8" spans="2:12">
      <c r="B8" s="79"/>
      <c r="C8" s="79"/>
      <c r="D8" s="65"/>
      <c r="E8" s="50"/>
      <c r="G8" s="79"/>
      <c r="H8" s="79"/>
      <c r="I8" s="65"/>
    </row>
    <row r="9" spans="2:12">
      <c r="B9" s="79"/>
      <c r="C9" s="79"/>
      <c r="D9" s="65"/>
      <c r="E9" s="50"/>
      <c r="G9" s="79"/>
      <c r="H9" s="79"/>
      <c r="I9" s="65"/>
    </row>
    <row r="10" spans="2:12">
      <c r="B10" s="79"/>
      <c r="C10" s="79"/>
      <c r="D10" s="65"/>
      <c r="E10" s="50"/>
      <c r="G10" s="79"/>
      <c r="H10" s="79"/>
      <c r="I10" s="65"/>
    </row>
    <row r="11" spans="2:12">
      <c r="B11" s="79"/>
      <c r="C11" s="79"/>
      <c r="D11" s="65"/>
      <c r="E11" s="50"/>
      <c r="G11" s="79"/>
      <c r="H11" s="79"/>
      <c r="I11" s="65"/>
    </row>
    <row r="12" spans="2:12">
      <c r="B12" s="79"/>
      <c r="C12" s="79"/>
      <c r="D12" s="65"/>
      <c r="E12" s="50"/>
      <c r="G12" s="79"/>
      <c r="H12" s="79"/>
      <c r="I12" s="65"/>
    </row>
    <row r="13" spans="2:12">
      <c r="B13" s="79"/>
      <c r="C13" s="79"/>
      <c r="D13" s="65"/>
      <c r="E13" s="50"/>
      <c r="G13" s="79"/>
      <c r="H13" s="79"/>
      <c r="I13" s="65"/>
    </row>
    <row r="14" spans="2:12">
      <c r="B14" s="79"/>
      <c r="C14" s="79"/>
      <c r="D14" s="65"/>
      <c r="E14" s="50"/>
      <c r="G14" s="79"/>
      <c r="H14" s="79"/>
      <c r="I14" s="65"/>
    </row>
    <row r="15" spans="2:12">
      <c r="B15" s="79"/>
      <c r="C15" s="79"/>
      <c r="D15" s="65"/>
      <c r="E15" s="50"/>
      <c r="G15" s="79"/>
      <c r="H15" s="79"/>
      <c r="I15" s="65"/>
    </row>
    <row r="16" spans="2:12">
      <c r="B16" s="232" t="s">
        <v>368</v>
      </c>
      <c r="C16" s="233"/>
      <c r="D16" s="234"/>
      <c r="E16" s="100"/>
      <c r="G16" s="221" t="s">
        <v>368</v>
      </c>
      <c r="H16" s="221"/>
      <c r="I16" s="65"/>
      <c r="L16" s="79">
        <v>1</v>
      </c>
    </row>
    <row r="17" spans="2:14">
      <c r="L17" s="79">
        <v>3</v>
      </c>
    </row>
    <row r="18" spans="2:14">
      <c r="B18" s="101">
        <v>1</v>
      </c>
      <c r="C18" s="101">
        <v>2</v>
      </c>
      <c r="D18" s="101">
        <v>4</v>
      </c>
      <c r="L18" s="79">
        <v>2</v>
      </c>
    </row>
    <row r="19" spans="2:14">
      <c r="B19" s="101">
        <v>5</v>
      </c>
      <c r="C19" s="101">
        <v>10</v>
      </c>
      <c r="D19" s="101">
        <v>50</v>
      </c>
      <c r="L19" s="79">
        <v>5</v>
      </c>
      <c r="N19" s="65">
        <v>3000</v>
      </c>
    </row>
    <row r="20" spans="2:14">
      <c r="L20" s="79">
        <v>2</v>
      </c>
      <c r="N20" s="65">
        <v>2000</v>
      </c>
    </row>
    <row r="21" spans="2:14">
      <c r="B21" s="102">
        <v>100</v>
      </c>
      <c r="C21" s="102">
        <v>50</v>
      </c>
      <c r="D21" s="102">
        <v>25</v>
      </c>
      <c r="N21" s="65">
        <v>4000</v>
      </c>
    </row>
    <row r="22" spans="2:14">
      <c r="B22" s="102">
        <v>20</v>
      </c>
      <c r="C22" s="102">
        <v>10</v>
      </c>
      <c r="D22" s="102">
        <v>2</v>
      </c>
      <c r="N22" s="65">
        <v>7000</v>
      </c>
    </row>
    <row r="23" spans="2:14">
      <c r="N23" s="65">
        <v>3500</v>
      </c>
    </row>
  </sheetData>
  <mergeCells count="2">
    <mergeCell ref="B16:D16"/>
    <mergeCell ref="G16:H16"/>
  </mergeCells>
  <phoneticPr fontId="2" type="noConversion"/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9C1F1C-9A89-465B-B317-92E222FD403C}">
  <sheetPr codeName="Sheet18"/>
  <dimension ref="H2:Q26"/>
  <sheetViews>
    <sheetView zoomScaleNormal="100" workbookViewId="0">
      <selection activeCell="B1" sqref="B1"/>
    </sheetView>
  </sheetViews>
  <sheetFormatPr defaultRowHeight="16.5"/>
  <cols>
    <col min="1" max="1" width="3.625" customWidth="1"/>
    <col min="2" max="8" width="13.25" customWidth="1"/>
    <col min="9" max="9" width="19.875" customWidth="1"/>
    <col min="10" max="10" width="5.25" bestFit="1" customWidth="1"/>
    <col min="11" max="11" width="5.5" bestFit="1" customWidth="1"/>
    <col min="12" max="12" width="18" customWidth="1"/>
    <col min="13" max="13" width="5.25" bestFit="1" customWidth="1"/>
    <col min="14" max="14" width="15.875" bestFit="1" customWidth="1"/>
    <col min="15" max="15" width="13.5" customWidth="1"/>
    <col min="16" max="16" width="6.25" customWidth="1"/>
    <col min="17" max="17" width="14.125" bestFit="1" customWidth="1"/>
  </cols>
  <sheetData>
    <row r="2" spans="8:17" ht="21" customHeight="1">
      <c r="H2" s="91" t="s">
        <v>407</v>
      </c>
      <c r="I2" s="45"/>
      <c r="L2" s="118"/>
    </row>
    <row r="3" spans="8:17" ht="23.25" customHeight="1">
      <c r="H3" s="91" t="s">
        <v>408</v>
      </c>
      <c r="I3" s="117"/>
      <c r="L3" s="118"/>
    </row>
    <row r="4" spans="8:17" ht="22.5" customHeight="1">
      <c r="H4" s="91" t="s">
        <v>409</v>
      </c>
      <c r="I4" s="91"/>
      <c r="L4" s="235"/>
      <c r="M4" s="235"/>
      <c r="N4" s="235"/>
    </row>
    <row r="5" spans="8:17" ht="20.25" customHeight="1">
      <c r="H5" s="91" t="s">
        <v>410</v>
      </c>
      <c r="I5" s="91"/>
    </row>
    <row r="6" spans="8:17" ht="20.25" customHeight="1">
      <c r="H6" s="91" t="s">
        <v>411</v>
      </c>
      <c r="I6" s="91"/>
    </row>
    <row r="7" spans="8:17" ht="20.25" customHeight="1">
      <c r="H7" s="91" t="s">
        <v>412</v>
      </c>
      <c r="I7" s="45"/>
    </row>
    <row r="8" spans="8:17" ht="20.25" customHeight="1">
      <c r="H8" s="236" t="s">
        <v>371</v>
      </c>
      <c r="I8" s="236"/>
      <c r="J8" s="236"/>
      <c r="K8" s="236"/>
      <c r="L8" s="236"/>
      <c r="M8" s="236"/>
      <c r="N8" s="236"/>
      <c r="O8" s="236"/>
      <c r="P8" s="236"/>
      <c r="Q8" s="236"/>
    </row>
    <row r="9" spans="8:17" ht="20.25" customHeight="1"/>
    <row r="10" spans="8:17" ht="20.25" customHeight="1">
      <c r="H10" s="89" t="s">
        <v>13</v>
      </c>
      <c r="I10" s="89" t="s">
        <v>144</v>
      </c>
      <c r="J10" s="89" t="s">
        <v>145</v>
      </c>
      <c r="K10" s="89" t="s">
        <v>146</v>
      </c>
      <c r="L10" s="89" t="s">
        <v>372</v>
      </c>
      <c r="M10" s="89" t="s">
        <v>373</v>
      </c>
      <c r="N10" s="89" t="s">
        <v>374</v>
      </c>
      <c r="O10" s="89" t="s">
        <v>375</v>
      </c>
      <c r="P10" s="89" t="s">
        <v>376</v>
      </c>
      <c r="Q10" s="89" t="s">
        <v>377</v>
      </c>
    </row>
    <row r="11" spans="8:17" ht="20.25" customHeight="1">
      <c r="H11" s="105" t="s">
        <v>148</v>
      </c>
      <c r="I11" s="90" t="s">
        <v>149</v>
      </c>
      <c r="J11" s="90" t="s">
        <v>150</v>
      </c>
      <c r="K11" s="90" t="s">
        <v>151</v>
      </c>
      <c r="L11" s="106">
        <v>33096</v>
      </c>
      <c r="M11" s="107"/>
      <c r="N11" s="90" t="s">
        <v>378</v>
      </c>
      <c r="O11" s="106">
        <v>42830</v>
      </c>
      <c r="P11" s="119"/>
      <c r="Q11" s="90" t="s">
        <v>379</v>
      </c>
    </row>
    <row r="12" spans="8:17" ht="20.25" customHeight="1">
      <c r="H12" s="105" t="s">
        <v>153</v>
      </c>
      <c r="I12" s="90" t="s">
        <v>154</v>
      </c>
      <c r="J12" s="90" t="s">
        <v>150</v>
      </c>
      <c r="K12" s="90" t="s">
        <v>156</v>
      </c>
      <c r="L12" s="106">
        <v>30608</v>
      </c>
      <c r="M12" s="107"/>
      <c r="N12" s="90" t="s">
        <v>380</v>
      </c>
      <c r="O12" s="106">
        <v>40563</v>
      </c>
      <c r="P12" s="119"/>
      <c r="Q12" s="90" t="s">
        <v>381</v>
      </c>
    </row>
    <row r="13" spans="8:17" ht="20.25" customHeight="1">
      <c r="H13" s="105" t="s">
        <v>158</v>
      </c>
      <c r="I13" s="90" t="s">
        <v>159</v>
      </c>
      <c r="J13" s="90" t="s">
        <v>150</v>
      </c>
      <c r="K13" s="90" t="s">
        <v>151</v>
      </c>
      <c r="L13" s="106">
        <v>31201</v>
      </c>
      <c r="M13" s="107"/>
      <c r="N13" s="90" t="s">
        <v>382</v>
      </c>
      <c r="O13" s="106">
        <v>40809</v>
      </c>
      <c r="P13" s="119"/>
      <c r="Q13" s="90" t="s">
        <v>383</v>
      </c>
    </row>
    <row r="14" spans="8:17" ht="20.25" customHeight="1">
      <c r="H14" s="105" t="s">
        <v>161</v>
      </c>
      <c r="I14" s="90" t="s">
        <v>154</v>
      </c>
      <c r="J14" s="90" t="s">
        <v>150</v>
      </c>
      <c r="K14" s="90" t="s">
        <v>156</v>
      </c>
      <c r="L14" s="106">
        <v>31927</v>
      </c>
      <c r="M14" s="107"/>
      <c r="N14" s="90" t="s">
        <v>384</v>
      </c>
      <c r="O14" s="106">
        <v>42269</v>
      </c>
      <c r="P14" s="119"/>
      <c r="Q14" s="90" t="s">
        <v>385</v>
      </c>
    </row>
    <row r="15" spans="8:17" ht="20.25" customHeight="1">
      <c r="H15" s="105" t="s">
        <v>164</v>
      </c>
      <c r="I15" s="90" t="s">
        <v>154</v>
      </c>
      <c r="J15" s="90" t="s">
        <v>165</v>
      </c>
      <c r="K15" s="90" t="s">
        <v>151</v>
      </c>
      <c r="L15" s="106">
        <v>26056</v>
      </c>
      <c r="M15" s="107"/>
      <c r="N15" s="90" t="s">
        <v>386</v>
      </c>
      <c r="O15" s="106">
        <v>35622</v>
      </c>
      <c r="P15" s="119"/>
      <c r="Q15" s="90" t="s">
        <v>387</v>
      </c>
    </row>
    <row r="16" spans="8:17" ht="20.25" customHeight="1">
      <c r="H16" s="105" t="s">
        <v>167</v>
      </c>
      <c r="I16" s="90" t="s">
        <v>168</v>
      </c>
      <c r="J16" s="90" t="s">
        <v>169</v>
      </c>
      <c r="K16" s="90" t="s">
        <v>151</v>
      </c>
      <c r="L16" s="106">
        <v>29790</v>
      </c>
      <c r="M16" s="107"/>
      <c r="N16" s="90" t="s">
        <v>388</v>
      </c>
      <c r="O16" s="106">
        <v>39708</v>
      </c>
      <c r="P16" s="119"/>
      <c r="Q16" s="90" t="s">
        <v>389</v>
      </c>
    </row>
    <row r="17" spans="8:17" ht="20.25" customHeight="1">
      <c r="H17" s="105" t="s">
        <v>171</v>
      </c>
      <c r="I17" s="90" t="s">
        <v>172</v>
      </c>
      <c r="J17" s="90" t="s">
        <v>150</v>
      </c>
      <c r="K17" s="90" t="s">
        <v>151</v>
      </c>
      <c r="L17" s="106">
        <v>32356</v>
      </c>
      <c r="M17" s="107"/>
      <c r="N17" s="90" t="s">
        <v>386</v>
      </c>
      <c r="O17" s="106">
        <v>42332</v>
      </c>
      <c r="P17" s="119"/>
      <c r="Q17" s="90" t="s">
        <v>390</v>
      </c>
    </row>
    <row r="18" spans="8:17" ht="27" customHeight="1">
      <c r="H18" s="105" t="s">
        <v>174</v>
      </c>
      <c r="I18" s="90" t="s">
        <v>175</v>
      </c>
      <c r="J18" s="90" t="s">
        <v>150</v>
      </c>
      <c r="K18" s="90" t="s">
        <v>156</v>
      </c>
      <c r="L18" s="106">
        <v>33237</v>
      </c>
      <c r="M18" s="107"/>
      <c r="N18" s="90" t="s">
        <v>382</v>
      </c>
      <c r="O18" s="106">
        <v>42009</v>
      </c>
      <c r="P18" s="119"/>
      <c r="Q18" s="90" t="s">
        <v>391</v>
      </c>
    </row>
    <row r="19" spans="8:17" ht="27" customHeight="1">
      <c r="H19" s="105" t="s">
        <v>177</v>
      </c>
      <c r="I19" s="90" t="s">
        <v>178</v>
      </c>
      <c r="J19" s="90" t="s">
        <v>165</v>
      </c>
      <c r="K19" s="90" t="s">
        <v>151</v>
      </c>
      <c r="L19" s="106">
        <v>25248</v>
      </c>
      <c r="M19" s="107"/>
      <c r="N19" s="90" t="s">
        <v>384</v>
      </c>
      <c r="O19" s="106">
        <v>35270</v>
      </c>
      <c r="P19" s="119"/>
      <c r="Q19" s="90" t="s">
        <v>392</v>
      </c>
    </row>
    <row r="20" spans="8:17" ht="27" customHeight="1">
      <c r="H20" s="105" t="s">
        <v>181</v>
      </c>
      <c r="I20" s="90" t="s">
        <v>172</v>
      </c>
      <c r="J20" s="90" t="s">
        <v>182</v>
      </c>
      <c r="K20" s="90" t="s">
        <v>156</v>
      </c>
      <c r="L20" s="106">
        <v>27389</v>
      </c>
      <c r="M20" s="107"/>
      <c r="N20" s="90" t="s">
        <v>393</v>
      </c>
      <c r="O20" s="106">
        <v>37421</v>
      </c>
      <c r="P20" s="119"/>
      <c r="Q20" s="90" t="s">
        <v>394</v>
      </c>
    </row>
    <row r="21" spans="8:17" ht="10.5" customHeight="1"/>
    <row r="22" spans="8:17" ht="24" customHeight="1">
      <c r="H22" s="108" t="s">
        <v>395</v>
      </c>
      <c r="L22" s="109"/>
    </row>
    <row r="23" spans="8:17" ht="24" customHeight="1">
      <c r="H23" s="108" t="s">
        <v>396</v>
      </c>
      <c r="L23" s="110"/>
    </row>
    <row r="24" spans="8:17" ht="24" customHeight="1"/>
    <row r="25" spans="8:17" ht="24" customHeight="1"/>
    <row r="26" spans="8:17" ht="9.75" customHeight="1"/>
  </sheetData>
  <mergeCells count="2">
    <mergeCell ref="L4:N4"/>
    <mergeCell ref="H8:Q8"/>
  </mergeCells>
  <phoneticPr fontId="2" type="noConversion"/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4AD21-9566-4D9B-8BD9-662DD7272C87}">
  <sheetPr codeName="Sheet21"/>
  <dimension ref="B1:Y45"/>
  <sheetViews>
    <sheetView zoomScaleNormal="100" workbookViewId="0">
      <selection activeCell="B1" sqref="B1"/>
    </sheetView>
  </sheetViews>
  <sheetFormatPr defaultRowHeight="16.5"/>
  <cols>
    <col min="1" max="1" width="3.625" customWidth="1"/>
    <col min="2" max="2" width="11.125" bestFit="1" customWidth="1"/>
    <col min="3" max="18" width="4.375" customWidth="1"/>
    <col min="19" max="21" width="6.25" customWidth="1"/>
    <col min="22" max="22" width="3" customWidth="1"/>
    <col min="23" max="23" width="11.125" bestFit="1" customWidth="1"/>
    <col min="24" max="24" width="8.875" bestFit="1" customWidth="1"/>
    <col min="25" max="25" width="17.375" customWidth="1"/>
  </cols>
  <sheetData>
    <row r="1" spans="2:25" ht="17.25" thickBot="1"/>
    <row r="2" spans="2:25">
      <c r="B2" s="241" t="s">
        <v>397</v>
      </c>
      <c r="C2" s="241"/>
      <c r="D2" s="241"/>
      <c r="E2" s="241"/>
      <c r="F2" s="241"/>
      <c r="G2" s="241"/>
      <c r="H2" s="241"/>
      <c r="I2" s="241"/>
      <c r="J2" s="241"/>
      <c r="K2" s="241"/>
      <c r="L2" s="241"/>
      <c r="M2" s="241"/>
      <c r="N2" s="241"/>
      <c r="O2" s="241"/>
      <c r="P2" s="241"/>
      <c r="Q2" s="241"/>
      <c r="R2" s="241"/>
      <c r="S2" s="241"/>
      <c r="T2" s="241"/>
      <c r="U2" s="241"/>
    </row>
    <row r="3" spans="2:25">
      <c r="B3" s="242"/>
      <c r="C3" s="242"/>
      <c r="D3" s="242"/>
      <c r="E3" s="242"/>
      <c r="F3" s="242"/>
      <c r="G3" s="242"/>
      <c r="H3" s="242"/>
      <c r="I3" s="242"/>
      <c r="J3" s="242"/>
      <c r="K3" s="242"/>
      <c r="L3" s="242"/>
      <c r="M3" s="242"/>
      <c r="N3" s="242"/>
      <c r="O3" s="242"/>
      <c r="P3" s="242"/>
      <c r="Q3" s="242"/>
      <c r="R3" s="242"/>
      <c r="S3" s="242"/>
      <c r="T3" s="242"/>
      <c r="U3" s="242"/>
    </row>
    <row r="4" spans="2:25">
      <c r="B4" s="237" t="s">
        <v>13</v>
      </c>
      <c r="C4" s="237" t="s">
        <v>267</v>
      </c>
      <c r="D4" s="237"/>
      <c r="E4" s="237"/>
      <c r="F4" s="237"/>
      <c r="G4" s="237"/>
      <c r="H4" s="237"/>
      <c r="I4" s="237"/>
      <c r="J4" s="237"/>
      <c r="K4" s="237"/>
      <c r="L4" s="237"/>
      <c r="M4" s="237"/>
      <c r="N4" s="237"/>
      <c r="O4" s="237"/>
      <c r="P4" s="237"/>
      <c r="Q4" s="237"/>
      <c r="R4" s="237"/>
      <c r="S4" s="238" t="s">
        <v>398</v>
      </c>
      <c r="T4" s="238" t="s">
        <v>399</v>
      </c>
      <c r="U4" s="237" t="s">
        <v>400</v>
      </c>
      <c r="W4" s="91" t="s">
        <v>47</v>
      </c>
      <c r="X4" s="91" t="s">
        <v>49</v>
      </c>
      <c r="Y4" s="91" t="s">
        <v>1</v>
      </c>
    </row>
    <row r="5" spans="2:25">
      <c r="B5" s="237"/>
      <c r="C5" s="111">
        <v>1</v>
      </c>
      <c r="D5" s="112">
        <v>2</v>
      </c>
      <c r="E5" s="112">
        <v>3</v>
      </c>
      <c r="F5" s="112">
        <v>4</v>
      </c>
      <c r="G5" s="112">
        <v>5</v>
      </c>
      <c r="H5" s="112">
        <v>6</v>
      </c>
      <c r="I5" s="111">
        <v>7</v>
      </c>
      <c r="J5" s="111">
        <v>8</v>
      </c>
      <c r="K5" s="112">
        <v>9</v>
      </c>
      <c r="L5" s="112">
        <v>10</v>
      </c>
      <c r="M5" s="112">
        <v>11</v>
      </c>
      <c r="N5" s="112">
        <v>12</v>
      </c>
      <c r="O5" s="112">
        <v>13</v>
      </c>
      <c r="P5" s="111">
        <v>14</v>
      </c>
      <c r="Q5" s="111">
        <v>15</v>
      </c>
      <c r="R5" s="112" t="s">
        <v>138</v>
      </c>
      <c r="S5" s="237"/>
      <c r="T5" s="238"/>
      <c r="U5" s="237"/>
      <c r="W5" s="91">
        <v>1</v>
      </c>
      <c r="X5" s="6"/>
      <c r="Y5" s="6"/>
    </row>
    <row r="6" spans="2:25">
      <c r="B6" s="91" t="s">
        <v>401</v>
      </c>
      <c r="C6" s="111"/>
      <c r="D6" s="90"/>
      <c r="E6" s="90"/>
      <c r="F6" s="91"/>
      <c r="G6" s="91"/>
      <c r="H6" s="91"/>
      <c r="I6" s="111"/>
      <c r="J6" s="111"/>
      <c r="K6" s="91"/>
      <c r="L6" s="91"/>
      <c r="M6" s="91"/>
      <c r="N6" s="91"/>
      <c r="O6" s="91"/>
      <c r="P6" s="111"/>
      <c r="Q6" s="111"/>
      <c r="R6" s="91"/>
      <c r="S6" s="91"/>
      <c r="T6" s="91"/>
      <c r="U6" s="91"/>
      <c r="W6" s="91">
        <f>RANK(날짜_기초2!Q5,날짜_기초2!C5:Q5)</f>
        <v>1</v>
      </c>
      <c r="X6" s="6"/>
      <c r="Y6" s="6"/>
    </row>
    <row r="7" spans="2:25">
      <c r="B7" s="91" t="s">
        <v>402</v>
      </c>
      <c r="C7" s="111"/>
      <c r="D7" s="90"/>
      <c r="E7" s="90"/>
      <c r="F7" s="91"/>
      <c r="G7" s="91"/>
      <c r="H7" s="91"/>
      <c r="I7" s="111"/>
      <c r="J7" s="111"/>
      <c r="K7" s="91"/>
      <c r="L7" s="91"/>
      <c r="M7" s="91"/>
      <c r="N7" s="91"/>
      <c r="O7" s="91"/>
      <c r="P7" s="111"/>
      <c r="Q7" s="111"/>
      <c r="R7" s="91"/>
      <c r="S7" s="91"/>
      <c r="T7" s="91"/>
      <c r="U7" s="91"/>
      <c r="W7" s="91">
        <f>MONTH("2018-1-1")</f>
        <v>1</v>
      </c>
      <c r="X7" s="6"/>
      <c r="Y7" s="6"/>
    </row>
    <row r="8" spans="2:25">
      <c r="B8" s="91" t="s">
        <v>403</v>
      </c>
      <c r="C8" s="111"/>
      <c r="D8" s="90"/>
      <c r="E8" s="90"/>
      <c r="F8" s="91"/>
      <c r="G8" s="91"/>
      <c r="H8" s="91"/>
      <c r="I8" s="111"/>
      <c r="J8" s="111"/>
      <c r="K8" s="91"/>
      <c r="L8" s="91"/>
      <c r="M8" s="91"/>
      <c r="N8" s="91"/>
      <c r="O8" s="91"/>
      <c r="P8" s="111"/>
      <c r="Q8" s="111"/>
      <c r="R8" s="91"/>
      <c r="S8" s="91"/>
      <c r="T8" s="91"/>
      <c r="U8" s="91"/>
      <c r="W8" s="91">
        <f ca="1">WEEKDAY(날짜_기초2!D26,2)</f>
        <v>2</v>
      </c>
      <c r="X8" s="6"/>
      <c r="Y8" s="6"/>
    </row>
    <row r="9" spans="2:25">
      <c r="B9" s="91" t="s">
        <v>404</v>
      </c>
      <c r="C9" s="111"/>
      <c r="D9" s="90"/>
      <c r="E9" s="90"/>
      <c r="F9" s="91"/>
      <c r="G9" s="91"/>
      <c r="H9" s="91"/>
      <c r="I9" s="111"/>
      <c r="J9" s="111"/>
      <c r="K9" s="91"/>
      <c r="L9" s="91"/>
      <c r="M9" s="91"/>
      <c r="N9" s="91"/>
      <c r="O9" s="91"/>
      <c r="P9" s="111"/>
      <c r="Q9" s="111"/>
      <c r="R9" s="91"/>
      <c r="S9" s="91"/>
      <c r="T9" s="91"/>
      <c r="U9" s="91"/>
      <c r="W9" s="113">
        <f>DATE(2018,날짜_기초2!B23,1)</f>
        <v>43374</v>
      </c>
      <c r="X9" s="6"/>
      <c r="Y9" s="120"/>
    </row>
    <row r="10" spans="2:25">
      <c r="B10" s="91" t="s">
        <v>405</v>
      </c>
      <c r="C10" s="111"/>
      <c r="D10" s="90"/>
      <c r="E10" s="90"/>
      <c r="F10" s="91"/>
      <c r="G10" s="91"/>
      <c r="H10" s="91"/>
      <c r="I10" s="111"/>
      <c r="J10" s="111"/>
      <c r="K10" s="91"/>
      <c r="L10" s="91"/>
      <c r="M10" s="91"/>
      <c r="N10" s="91"/>
      <c r="O10" s="91"/>
      <c r="P10" s="111"/>
      <c r="Q10" s="111"/>
      <c r="R10" s="91"/>
      <c r="S10" s="91"/>
      <c r="T10" s="91"/>
      <c r="U10" s="91"/>
    </row>
    <row r="11" spans="2:25">
      <c r="B11" s="91"/>
      <c r="C11" s="111"/>
      <c r="D11" s="90"/>
      <c r="E11" s="90"/>
      <c r="F11" s="91"/>
      <c r="G11" s="91"/>
      <c r="H11" s="91"/>
      <c r="I11" s="111"/>
      <c r="J11" s="111"/>
      <c r="K11" s="91"/>
      <c r="L11" s="91"/>
      <c r="M11" s="91"/>
      <c r="N11" s="91"/>
      <c r="O11" s="91"/>
      <c r="P11" s="111"/>
      <c r="Q11" s="111"/>
      <c r="R11" s="91"/>
      <c r="S11" s="91"/>
      <c r="T11" s="91"/>
      <c r="U11" s="91"/>
    </row>
    <row r="12" spans="2:25">
      <c r="B12" s="91"/>
      <c r="C12" s="111"/>
      <c r="D12" s="90"/>
      <c r="E12" s="90"/>
      <c r="F12" s="91"/>
      <c r="G12" s="91"/>
      <c r="H12" s="91"/>
      <c r="I12" s="111"/>
      <c r="J12" s="111"/>
      <c r="K12" s="91"/>
      <c r="L12" s="91"/>
      <c r="M12" s="91"/>
      <c r="N12" s="91"/>
      <c r="O12" s="91"/>
      <c r="P12" s="111"/>
      <c r="Q12" s="111"/>
      <c r="R12" s="91"/>
      <c r="S12" s="91"/>
      <c r="T12" s="91"/>
      <c r="U12" s="91"/>
    </row>
    <row r="13" spans="2:25">
      <c r="B13" s="237" t="s">
        <v>13</v>
      </c>
      <c r="C13" s="237" t="s">
        <v>267</v>
      </c>
      <c r="D13" s="237"/>
      <c r="E13" s="237"/>
      <c r="F13" s="237"/>
      <c r="G13" s="237"/>
      <c r="H13" s="237"/>
      <c r="I13" s="237"/>
      <c r="J13" s="237"/>
      <c r="K13" s="237"/>
      <c r="L13" s="237"/>
      <c r="M13" s="237"/>
      <c r="N13" s="237"/>
      <c r="O13" s="237"/>
      <c r="P13" s="237"/>
      <c r="Q13" s="237"/>
      <c r="R13" s="237"/>
      <c r="S13" s="238" t="s">
        <v>398</v>
      </c>
      <c r="T13" s="238" t="s">
        <v>399</v>
      </c>
      <c r="U13" s="237" t="s">
        <v>400</v>
      </c>
    </row>
    <row r="14" spans="2:25">
      <c r="B14" s="237"/>
      <c r="C14" s="112">
        <v>16</v>
      </c>
      <c r="D14" s="112">
        <v>17</v>
      </c>
      <c r="E14" s="112">
        <v>18</v>
      </c>
      <c r="F14" s="112">
        <v>19</v>
      </c>
      <c r="G14" s="112">
        <v>20</v>
      </c>
      <c r="H14" s="111">
        <v>21</v>
      </c>
      <c r="I14" s="111">
        <v>22</v>
      </c>
      <c r="J14" s="112">
        <v>23</v>
      </c>
      <c r="K14" s="112">
        <v>24</v>
      </c>
      <c r="L14" s="112">
        <v>25</v>
      </c>
      <c r="M14" s="112">
        <v>26</v>
      </c>
      <c r="N14" s="112">
        <v>27</v>
      </c>
      <c r="O14" s="111">
        <v>28</v>
      </c>
      <c r="P14" s="111">
        <v>29</v>
      </c>
      <c r="Q14" s="112">
        <v>30</v>
      </c>
      <c r="R14" s="112">
        <v>31</v>
      </c>
      <c r="S14" s="237"/>
      <c r="T14" s="238"/>
      <c r="U14" s="237"/>
    </row>
    <row r="15" spans="2:25">
      <c r="B15" s="91" t="s">
        <v>401</v>
      </c>
      <c r="C15" s="91"/>
      <c r="D15" s="91"/>
      <c r="E15" s="91"/>
      <c r="F15" s="91"/>
      <c r="G15" s="91"/>
      <c r="H15" s="111"/>
      <c r="I15" s="111"/>
      <c r="J15" s="91"/>
      <c r="K15" s="91"/>
      <c r="L15" s="91"/>
      <c r="M15" s="91"/>
      <c r="N15" s="91"/>
      <c r="O15" s="111"/>
      <c r="P15" s="111"/>
      <c r="Q15" s="91"/>
      <c r="R15" s="91"/>
      <c r="S15" s="91"/>
      <c r="T15" s="91"/>
      <c r="U15" s="91"/>
    </row>
    <row r="16" spans="2:25">
      <c r="B16" s="91" t="s">
        <v>402</v>
      </c>
      <c r="C16" s="91"/>
      <c r="D16" s="91"/>
      <c r="E16" s="91"/>
      <c r="F16" s="91"/>
      <c r="G16" s="91"/>
      <c r="H16" s="111"/>
      <c r="I16" s="111"/>
      <c r="J16" s="91"/>
      <c r="K16" s="91"/>
      <c r="L16" s="91"/>
      <c r="M16" s="91"/>
      <c r="N16" s="91"/>
      <c r="O16" s="111"/>
      <c r="P16" s="111"/>
      <c r="Q16" s="91"/>
      <c r="R16" s="91"/>
      <c r="S16" s="91"/>
      <c r="T16" s="91"/>
      <c r="U16" s="91"/>
    </row>
    <row r="17" spans="2:23">
      <c r="B17" s="91" t="s">
        <v>403</v>
      </c>
      <c r="C17" s="91"/>
      <c r="D17" s="91"/>
      <c r="E17" s="91"/>
      <c r="F17" s="91"/>
      <c r="G17" s="91"/>
      <c r="H17" s="111"/>
      <c r="I17" s="111"/>
      <c r="J17" s="91"/>
      <c r="K17" s="91"/>
      <c r="L17" s="91"/>
      <c r="M17" s="91"/>
      <c r="N17" s="91"/>
      <c r="O17" s="111"/>
      <c r="P17" s="111"/>
      <c r="Q17" s="91"/>
      <c r="R17" s="91"/>
      <c r="S17" s="91"/>
      <c r="T17" s="91"/>
      <c r="U17" s="91"/>
    </row>
    <row r="18" spans="2:23">
      <c r="B18" s="91" t="s">
        <v>404</v>
      </c>
      <c r="C18" s="91"/>
      <c r="D18" s="91"/>
      <c r="E18" s="91"/>
      <c r="F18" s="91"/>
      <c r="G18" s="91"/>
      <c r="H18" s="111"/>
      <c r="I18" s="111"/>
      <c r="J18" s="91"/>
      <c r="K18" s="91"/>
      <c r="L18" s="91"/>
      <c r="M18" s="91"/>
      <c r="N18" s="91"/>
      <c r="O18" s="111"/>
      <c r="P18" s="111"/>
      <c r="Q18" s="91"/>
      <c r="R18" s="91"/>
      <c r="S18" s="91"/>
      <c r="T18" s="91"/>
      <c r="U18" s="91"/>
    </row>
    <row r="19" spans="2:23">
      <c r="B19" s="91" t="s">
        <v>405</v>
      </c>
      <c r="C19" s="91"/>
      <c r="D19" s="91"/>
      <c r="E19" s="91"/>
      <c r="F19" s="91"/>
      <c r="G19" s="91"/>
      <c r="H19" s="111"/>
      <c r="I19" s="111"/>
      <c r="J19" s="91"/>
      <c r="K19" s="91"/>
      <c r="L19" s="91"/>
      <c r="M19" s="91"/>
      <c r="N19" s="91"/>
      <c r="O19" s="111"/>
      <c r="P19" s="111"/>
      <c r="Q19" s="91"/>
      <c r="R19" s="91"/>
      <c r="S19" s="91"/>
      <c r="T19" s="91"/>
      <c r="U19" s="91"/>
    </row>
    <row r="20" spans="2:23">
      <c r="B20" s="91"/>
      <c r="C20" s="91"/>
      <c r="D20" s="91"/>
      <c r="E20" s="91"/>
      <c r="F20" s="91"/>
      <c r="G20" s="91"/>
      <c r="H20" s="111"/>
      <c r="I20" s="111"/>
      <c r="J20" s="91"/>
      <c r="K20" s="91"/>
      <c r="L20" s="91"/>
      <c r="M20" s="91"/>
      <c r="N20" s="91"/>
      <c r="O20" s="111"/>
      <c r="P20" s="111"/>
      <c r="Q20" s="91"/>
      <c r="R20" s="91"/>
      <c r="S20" s="91"/>
      <c r="T20" s="91"/>
      <c r="U20" s="91"/>
    </row>
    <row r="21" spans="2:23">
      <c r="B21" s="91"/>
      <c r="C21" s="91"/>
      <c r="D21" s="91"/>
      <c r="E21" s="91"/>
      <c r="F21" s="91"/>
      <c r="G21" s="91"/>
      <c r="H21" s="111"/>
      <c r="I21" s="111"/>
      <c r="J21" s="91"/>
      <c r="K21" s="91"/>
      <c r="L21" s="91"/>
      <c r="M21" s="91"/>
      <c r="N21" s="91"/>
      <c r="O21" s="111"/>
      <c r="P21" s="111"/>
      <c r="Q21" s="91"/>
      <c r="R21" s="91"/>
      <c r="S21" s="91"/>
      <c r="T21" s="91"/>
      <c r="U21" s="91"/>
    </row>
    <row r="22" spans="2:23" ht="17.25" thickBot="1"/>
    <row r="23" spans="2:23">
      <c r="B23" s="239">
        <v>10</v>
      </c>
      <c r="C23" s="239"/>
      <c r="D23" s="239"/>
      <c r="E23" s="239"/>
      <c r="F23" s="239"/>
      <c r="G23" s="239"/>
      <c r="H23" s="239"/>
      <c r="I23" s="239"/>
      <c r="J23" s="239"/>
      <c r="K23" s="239"/>
      <c r="L23" s="239"/>
      <c r="M23" s="239"/>
      <c r="N23" s="239"/>
      <c r="O23" s="239"/>
      <c r="P23" s="239"/>
      <c r="Q23" s="239"/>
      <c r="R23" s="239"/>
      <c r="S23" s="239"/>
      <c r="T23" s="239"/>
      <c r="U23" s="239"/>
    </row>
    <row r="24" spans="2:23">
      <c r="B24" s="240"/>
      <c r="C24" s="240"/>
      <c r="D24" s="240"/>
      <c r="E24" s="240"/>
      <c r="F24" s="240"/>
      <c r="G24" s="240"/>
      <c r="H24" s="240"/>
      <c r="I24" s="240"/>
      <c r="J24" s="240"/>
      <c r="K24" s="240"/>
      <c r="L24" s="240"/>
      <c r="M24" s="240"/>
      <c r="N24" s="240"/>
      <c r="O24" s="240"/>
      <c r="P24" s="240"/>
      <c r="Q24" s="240"/>
      <c r="R24" s="240"/>
      <c r="S24" s="240"/>
      <c r="T24" s="240"/>
      <c r="U24" s="240"/>
    </row>
    <row r="25" spans="2:23">
      <c r="B25" s="237" t="s">
        <v>13</v>
      </c>
      <c r="C25" s="237" t="s">
        <v>267</v>
      </c>
      <c r="D25" s="237"/>
      <c r="E25" s="237"/>
      <c r="F25" s="237"/>
      <c r="G25" s="237"/>
      <c r="H25" s="237"/>
      <c r="I25" s="237"/>
      <c r="J25" s="237"/>
      <c r="K25" s="237"/>
      <c r="L25" s="237"/>
      <c r="M25" s="237"/>
      <c r="N25" s="237"/>
      <c r="O25" s="237"/>
      <c r="P25" s="237"/>
      <c r="Q25" s="237"/>
      <c r="R25" s="237"/>
      <c r="S25" s="238" t="s">
        <v>398</v>
      </c>
      <c r="T25" s="238" t="s">
        <v>399</v>
      </c>
      <c r="U25" s="237" t="s">
        <v>400</v>
      </c>
      <c r="W25" s="89" t="s">
        <v>406</v>
      </c>
    </row>
    <row r="26" spans="2:23">
      <c r="B26" s="237"/>
      <c r="C26" s="114">
        <f ca="1">DATE(YEAR(TODAY()),B23,1)</f>
        <v>43374</v>
      </c>
      <c r="D26" s="114">
        <f t="shared" ref="D26:Q26" ca="1" si="0">C26+1</f>
        <v>43375</v>
      </c>
      <c r="E26" s="114">
        <f t="shared" ca="1" si="0"/>
        <v>43376</v>
      </c>
      <c r="F26" s="114">
        <f t="shared" ca="1" si="0"/>
        <v>43377</v>
      </c>
      <c r="G26" s="114">
        <f t="shared" ca="1" si="0"/>
        <v>43378</v>
      </c>
      <c r="H26" s="114">
        <f t="shared" ca="1" si="0"/>
        <v>43379</v>
      </c>
      <c r="I26" s="114">
        <f t="shared" ca="1" si="0"/>
        <v>43380</v>
      </c>
      <c r="J26" s="114">
        <f t="shared" ca="1" si="0"/>
        <v>43381</v>
      </c>
      <c r="K26" s="114">
        <f t="shared" ca="1" si="0"/>
        <v>43382</v>
      </c>
      <c r="L26" s="114">
        <f t="shared" ca="1" si="0"/>
        <v>43383</v>
      </c>
      <c r="M26" s="114">
        <f t="shared" ca="1" si="0"/>
        <v>43384</v>
      </c>
      <c r="N26" s="114">
        <f t="shared" ca="1" si="0"/>
        <v>43385</v>
      </c>
      <c r="O26" s="114">
        <f t="shared" ca="1" si="0"/>
        <v>43386</v>
      </c>
      <c r="P26" s="114">
        <f t="shared" ca="1" si="0"/>
        <v>43387</v>
      </c>
      <c r="Q26" s="114">
        <f t="shared" ca="1" si="0"/>
        <v>43388</v>
      </c>
      <c r="R26" s="112" t="s">
        <v>138</v>
      </c>
      <c r="S26" s="237"/>
      <c r="T26" s="238"/>
      <c r="U26" s="237"/>
      <c r="W26" s="115">
        <v>43010</v>
      </c>
    </row>
    <row r="27" spans="2:23">
      <c r="B27" s="91" t="s">
        <v>401</v>
      </c>
      <c r="C27" s="90"/>
      <c r="D27" s="90"/>
      <c r="E27" s="90"/>
      <c r="F27" s="90"/>
      <c r="G27" s="90"/>
      <c r="H27" s="90"/>
      <c r="I27" s="90"/>
      <c r="J27" s="90"/>
      <c r="K27" s="90"/>
      <c r="L27" s="90"/>
      <c r="M27" s="90"/>
      <c r="N27" s="90"/>
      <c r="O27" s="90"/>
      <c r="P27" s="90"/>
      <c r="Q27" s="90"/>
      <c r="R27" s="90"/>
      <c r="S27" s="91"/>
      <c r="T27" s="91"/>
      <c r="U27" s="116"/>
      <c r="W27" s="115"/>
    </row>
    <row r="28" spans="2:23">
      <c r="B28" s="91" t="s">
        <v>402</v>
      </c>
      <c r="C28" s="90"/>
      <c r="D28" s="90"/>
      <c r="E28" s="90"/>
      <c r="F28" s="90"/>
      <c r="G28" s="90"/>
      <c r="H28" s="90"/>
      <c r="I28" s="90"/>
      <c r="J28" s="90"/>
      <c r="K28" s="90"/>
      <c r="L28" s="90"/>
      <c r="M28" s="90"/>
      <c r="N28" s="90"/>
      <c r="O28" s="90"/>
      <c r="P28" s="90"/>
      <c r="Q28" s="90"/>
      <c r="R28" s="90"/>
      <c r="S28" s="91"/>
      <c r="T28" s="91"/>
      <c r="U28" s="116"/>
      <c r="W28" s="115"/>
    </row>
    <row r="29" spans="2:23">
      <c r="B29" s="91" t="s">
        <v>403</v>
      </c>
      <c r="C29" s="90"/>
      <c r="D29" s="90"/>
      <c r="E29" s="90"/>
      <c r="F29" s="90"/>
      <c r="G29" s="90"/>
      <c r="H29" s="90"/>
      <c r="I29" s="90"/>
      <c r="J29" s="90"/>
      <c r="K29" s="90"/>
      <c r="L29" s="90"/>
      <c r="M29" s="90"/>
      <c r="N29" s="90"/>
      <c r="O29" s="90"/>
      <c r="P29" s="90"/>
      <c r="Q29" s="90"/>
      <c r="R29" s="90"/>
      <c r="S29" s="91"/>
      <c r="T29" s="91"/>
      <c r="U29" s="116"/>
      <c r="W29" s="115"/>
    </row>
    <row r="30" spans="2:23">
      <c r="B30" s="91" t="s">
        <v>404</v>
      </c>
      <c r="C30" s="90"/>
      <c r="D30" s="90"/>
      <c r="E30" s="90"/>
      <c r="F30" s="90"/>
      <c r="G30" s="90"/>
      <c r="H30" s="90"/>
      <c r="I30" s="90"/>
      <c r="J30" s="90"/>
      <c r="K30" s="90"/>
      <c r="L30" s="90"/>
      <c r="M30" s="90"/>
      <c r="N30" s="90"/>
      <c r="O30" s="90"/>
      <c r="P30" s="90"/>
      <c r="Q30" s="90"/>
      <c r="R30" s="90"/>
      <c r="S30" s="91"/>
      <c r="T30" s="91"/>
      <c r="U30" s="116"/>
      <c r="W30" s="115"/>
    </row>
    <row r="31" spans="2:23">
      <c r="B31" s="91" t="s">
        <v>405</v>
      </c>
      <c r="C31" s="90"/>
      <c r="D31" s="90"/>
      <c r="E31" s="90"/>
      <c r="F31" s="90"/>
      <c r="G31" s="90"/>
      <c r="H31" s="90"/>
      <c r="I31" s="90"/>
      <c r="J31" s="90"/>
      <c r="K31" s="90"/>
      <c r="L31" s="90"/>
      <c r="M31" s="90"/>
      <c r="N31" s="90"/>
      <c r="O31" s="90"/>
      <c r="P31" s="90"/>
      <c r="Q31" s="90"/>
      <c r="R31" s="90"/>
      <c r="S31" s="91"/>
      <c r="T31" s="91"/>
      <c r="U31" s="116"/>
      <c r="W31" s="115"/>
    </row>
    <row r="32" spans="2:23">
      <c r="B32" s="91"/>
      <c r="C32" s="90"/>
      <c r="D32" s="90"/>
      <c r="E32" s="90"/>
      <c r="F32" s="90"/>
      <c r="G32" s="90"/>
      <c r="H32" s="90"/>
      <c r="I32" s="90"/>
      <c r="J32" s="90"/>
      <c r="K32" s="90"/>
      <c r="L32" s="90"/>
      <c r="M32" s="90"/>
      <c r="N32" s="90"/>
      <c r="O32" s="90"/>
      <c r="P32" s="90"/>
      <c r="Q32" s="90"/>
      <c r="R32" s="90"/>
      <c r="S32" s="91"/>
      <c r="T32" s="91"/>
      <c r="U32" s="116"/>
      <c r="W32" s="115"/>
    </row>
    <row r="33" spans="2:23">
      <c r="B33" s="91"/>
      <c r="C33" s="90"/>
      <c r="D33" s="90"/>
      <c r="E33" s="90"/>
      <c r="F33" s="90"/>
      <c r="G33" s="90"/>
      <c r="H33" s="90"/>
      <c r="I33" s="90"/>
      <c r="J33" s="90"/>
      <c r="K33" s="90"/>
      <c r="L33" s="90"/>
      <c r="M33" s="90"/>
      <c r="N33" s="90"/>
      <c r="O33" s="90"/>
      <c r="P33" s="90"/>
      <c r="Q33" s="90"/>
      <c r="R33" s="90"/>
      <c r="S33" s="91"/>
      <c r="T33" s="91"/>
      <c r="U33" s="116"/>
      <c r="W33" s="6"/>
    </row>
    <row r="34" spans="2:23">
      <c r="B34" s="237" t="s">
        <v>13</v>
      </c>
      <c r="C34" s="237" t="s">
        <v>267</v>
      </c>
      <c r="D34" s="237"/>
      <c r="E34" s="237"/>
      <c r="F34" s="237"/>
      <c r="G34" s="237"/>
      <c r="H34" s="237"/>
      <c r="I34" s="237"/>
      <c r="J34" s="237"/>
      <c r="K34" s="237"/>
      <c r="L34" s="237"/>
      <c r="M34" s="237"/>
      <c r="N34" s="237"/>
      <c r="O34" s="237"/>
      <c r="P34" s="237"/>
      <c r="Q34" s="237"/>
      <c r="R34" s="237"/>
      <c r="S34" s="238" t="s">
        <v>398</v>
      </c>
      <c r="T34" s="238" t="s">
        <v>399</v>
      </c>
      <c r="U34" s="237" t="s">
        <v>400</v>
      </c>
    </row>
    <row r="35" spans="2:23">
      <c r="B35" s="237"/>
      <c r="C35" s="114">
        <f ca="1">Q26+1</f>
        <v>43389</v>
      </c>
      <c r="D35" s="114">
        <f t="shared" ref="D35:O35" ca="1" si="1">C35+1</f>
        <v>43390</v>
      </c>
      <c r="E35" s="114">
        <f t="shared" ca="1" si="1"/>
        <v>43391</v>
      </c>
      <c r="F35" s="114">
        <f t="shared" ca="1" si="1"/>
        <v>43392</v>
      </c>
      <c r="G35" s="114">
        <f t="shared" ca="1" si="1"/>
        <v>43393</v>
      </c>
      <c r="H35" s="114">
        <f t="shared" ca="1" si="1"/>
        <v>43394</v>
      </c>
      <c r="I35" s="114">
        <f t="shared" ca="1" si="1"/>
        <v>43395</v>
      </c>
      <c r="J35" s="114">
        <f t="shared" ca="1" si="1"/>
        <v>43396</v>
      </c>
      <c r="K35" s="114">
        <f t="shared" ca="1" si="1"/>
        <v>43397</v>
      </c>
      <c r="L35" s="114">
        <f t="shared" ca="1" si="1"/>
        <v>43398</v>
      </c>
      <c r="M35" s="114">
        <f t="shared" ca="1" si="1"/>
        <v>43399</v>
      </c>
      <c r="N35" s="114">
        <f t="shared" ca="1" si="1"/>
        <v>43400</v>
      </c>
      <c r="O35" s="114">
        <f t="shared" ca="1" si="1"/>
        <v>43401</v>
      </c>
      <c r="P35" s="114">
        <f ca="1">IF(MONTH(O35)=MONTH(O35+1),O35+1,"")</f>
        <v>43402</v>
      </c>
      <c r="Q35" s="114">
        <f ca="1">IF(MONTH(P35)=MONTH(P35+1),P35+1,"")</f>
        <v>43403</v>
      </c>
      <c r="R35" s="114">
        <f ca="1">IF(MONTH(Q35)=MONTH(Q35+1),Q35+1,"")</f>
        <v>43404</v>
      </c>
      <c r="S35" s="237"/>
      <c r="T35" s="238"/>
      <c r="U35" s="237"/>
    </row>
    <row r="36" spans="2:23">
      <c r="B36" s="91" t="s">
        <v>401</v>
      </c>
      <c r="C36" s="90"/>
      <c r="D36" s="90"/>
      <c r="E36" s="90"/>
      <c r="F36" s="90"/>
      <c r="G36" s="90"/>
      <c r="H36" s="90"/>
      <c r="I36" s="90"/>
      <c r="J36" s="90"/>
      <c r="K36" s="90"/>
      <c r="L36" s="90"/>
      <c r="M36" s="90"/>
      <c r="N36" s="90"/>
      <c r="O36" s="90"/>
      <c r="P36" s="90"/>
      <c r="Q36" s="90"/>
      <c r="R36" s="90"/>
      <c r="S36" s="91"/>
      <c r="T36" s="91"/>
      <c r="U36" s="116"/>
    </row>
    <row r="37" spans="2:23">
      <c r="B37" s="91" t="s">
        <v>402</v>
      </c>
      <c r="C37" s="90"/>
      <c r="D37" s="90"/>
      <c r="E37" s="90"/>
      <c r="F37" s="90"/>
      <c r="G37" s="90"/>
      <c r="H37" s="90"/>
      <c r="I37" s="90"/>
      <c r="J37" s="90"/>
      <c r="K37" s="90"/>
      <c r="L37" s="90"/>
      <c r="M37" s="90"/>
      <c r="N37" s="90"/>
      <c r="O37" s="90"/>
      <c r="P37" s="90"/>
      <c r="Q37" s="90"/>
      <c r="R37" s="90"/>
      <c r="S37" s="91"/>
      <c r="T37" s="91"/>
      <c r="U37" s="116"/>
    </row>
    <row r="38" spans="2:23">
      <c r="B38" s="91" t="s">
        <v>403</v>
      </c>
      <c r="C38" s="90"/>
      <c r="D38" s="90"/>
      <c r="E38" s="90"/>
      <c r="F38" s="90"/>
      <c r="G38" s="90"/>
      <c r="H38" s="90"/>
      <c r="I38" s="90"/>
      <c r="J38" s="90"/>
      <c r="K38" s="90"/>
      <c r="L38" s="90"/>
      <c r="M38" s="90"/>
      <c r="N38" s="90"/>
      <c r="O38" s="90"/>
      <c r="P38" s="90"/>
      <c r="Q38" s="90"/>
      <c r="R38" s="90"/>
      <c r="S38" s="91"/>
      <c r="T38" s="91"/>
      <c r="U38" s="116"/>
    </row>
    <row r="39" spans="2:23">
      <c r="B39" s="91" t="s">
        <v>404</v>
      </c>
      <c r="C39" s="90"/>
      <c r="D39" s="90"/>
      <c r="E39" s="90"/>
      <c r="F39" s="90"/>
      <c r="G39" s="90"/>
      <c r="H39" s="90"/>
      <c r="I39" s="90"/>
      <c r="J39" s="90"/>
      <c r="K39" s="90"/>
      <c r="L39" s="90"/>
      <c r="M39" s="90"/>
      <c r="N39" s="90"/>
      <c r="O39" s="90"/>
      <c r="P39" s="90"/>
      <c r="Q39" s="90"/>
      <c r="R39" s="90"/>
      <c r="S39" s="91"/>
      <c r="T39" s="91"/>
      <c r="U39" s="116"/>
    </row>
    <row r="40" spans="2:23">
      <c r="B40" s="91" t="s">
        <v>405</v>
      </c>
      <c r="C40" s="90"/>
      <c r="D40" s="90"/>
      <c r="E40" s="90"/>
      <c r="F40" s="90"/>
      <c r="G40" s="90"/>
      <c r="H40" s="90"/>
      <c r="I40" s="90"/>
      <c r="J40" s="90"/>
      <c r="K40" s="90"/>
      <c r="L40" s="90"/>
      <c r="M40" s="90"/>
      <c r="N40" s="90"/>
      <c r="O40" s="90"/>
      <c r="P40" s="90"/>
      <c r="Q40" s="90"/>
      <c r="R40" s="90"/>
      <c r="S40" s="91"/>
      <c r="T40" s="91"/>
      <c r="U40" s="116"/>
    </row>
    <row r="41" spans="2:23">
      <c r="B41" s="91"/>
      <c r="C41" s="90"/>
      <c r="D41" s="90"/>
      <c r="E41" s="90"/>
      <c r="F41" s="90"/>
      <c r="G41" s="90"/>
      <c r="H41" s="90"/>
      <c r="I41" s="90"/>
      <c r="J41" s="90"/>
      <c r="K41" s="90"/>
      <c r="L41" s="90"/>
      <c r="M41" s="90"/>
      <c r="N41" s="90"/>
      <c r="O41" s="90"/>
      <c r="P41" s="90"/>
      <c r="Q41" s="90"/>
      <c r="R41" s="90"/>
      <c r="S41" s="91"/>
      <c r="T41" s="91"/>
      <c r="U41" s="116"/>
    </row>
    <row r="42" spans="2:23">
      <c r="B42" s="91"/>
      <c r="C42" s="90"/>
      <c r="D42" s="90"/>
      <c r="E42" s="90"/>
      <c r="F42" s="90"/>
      <c r="G42" s="90"/>
      <c r="H42" s="90"/>
      <c r="I42" s="90"/>
      <c r="J42" s="90"/>
      <c r="K42" s="90"/>
      <c r="L42" s="90"/>
      <c r="M42" s="90"/>
      <c r="N42" s="90"/>
      <c r="O42" s="90"/>
      <c r="P42" s="90"/>
      <c r="Q42" s="90"/>
      <c r="R42" s="90"/>
      <c r="S42" s="91"/>
      <c r="T42" s="91"/>
      <c r="U42" s="116"/>
    </row>
    <row r="45" spans="2:23">
      <c r="B45" s="121">
        <f>DATE(2017,B23,1)</f>
        <v>43009</v>
      </c>
      <c r="C45" s="121">
        <f>B45+1</f>
        <v>43010</v>
      </c>
      <c r="D45" s="121">
        <f t="shared" ref="D45:V45" si="2">C45+1</f>
        <v>43011</v>
      </c>
      <c r="E45" s="121">
        <f t="shared" si="2"/>
        <v>43012</v>
      </c>
      <c r="F45" s="121">
        <f t="shared" si="2"/>
        <v>43013</v>
      </c>
      <c r="G45" s="121">
        <f t="shared" si="2"/>
        <v>43014</v>
      </c>
      <c r="H45" s="121">
        <f t="shared" si="2"/>
        <v>43015</v>
      </c>
      <c r="I45" s="121">
        <f t="shared" si="2"/>
        <v>43016</v>
      </c>
      <c r="J45" s="121">
        <f t="shared" si="2"/>
        <v>43017</v>
      </c>
      <c r="K45" s="121">
        <f t="shared" si="2"/>
        <v>43018</v>
      </c>
      <c r="L45" s="121">
        <f t="shared" si="2"/>
        <v>43019</v>
      </c>
      <c r="M45" s="121">
        <f t="shared" si="2"/>
        <v>43020</v>
      </c>
      <c r="N45" s="121">
        <f t="shared" si="2"/>
        <v>43021</v>
      </c>
      <c r="O45" s="121">
        <f t="shared" si="2"/>
        <v>43022</v>
      </c>
      <c r="P45" s="121">
        <f t="shared" si="2"/>
        <v>43023</v>
      </c>
      <c r="Q45" s="121">
        <f t="shared" si="2"/>
        <v>43024</v>
      </c>
      <c r="R45" s="121">
        <f t="shared" si="2"/>
        <v>43025</v>
      </c>
      <c r="S45" s="121">
        <f t="shared" si="2"/>
        <v>43026</v>
      </c>
      <c r="T45" s="121">
        <f t="shared" si="2"/>
        <v>43027</v>
      </c>
      <c r="U45" s="121">
        <f t="shared" si="2"/>
        <v>43028</v>
      </c>
      <c r="V45" s="121">
        <f t="shared" si="2"/>
        <v>43029</v>
      </c>
    </row>
  </sheetData>
  <mergeCells count="22">
    <mergeCell ref="B23:U24"/>
    <mergeCell ref="B2:U3"/>
    <mergeCell ref="B4:B5"/>
    <mergeCell ref="C4:R4"/>
    <mergeCell ref="S4:S5"/>
    <mergeCell ref="T4:T5"/>
    <mergeCell ref="U4:U5"/>
    <mergeCell ref="B13:B14"/>
    <mergeCell ref="C13:R13"/>
    <mergeCell ref="S13:S14"/>
    <mergeCell ref="T13:T14"/>
    <mergeCell ref="U13:U14"/>
    <mergeCell ref="B34:B35"/>
    <mergeCell ref="C34:R34"/>
    <mergeCell ref="S34:S35"/>
    <mergeCell ref="T34:T35"/>
    <mergeCell ref="U34:U35"/>
    <mergeCell ref="B25:B26"/>
    <mergeCell ref="C25:R25"/>
    <mergeCell ref="S25:S26"/>
    <mergeCell ref="T25:T26"/>
    <mergeCell ref="U25:U26"/>
  </mergeCells>
  <phoneticPr fontId="2" type="noConversion"/>
  <conditionalFormatting sqref="C26:Q33">
    <cfRule type="expression" dxfId="3" priority="4">
      <formula>WEEKDAY(C$26,2)&gt;5</formula>
    </cfRule>
  </conditionalFormatting>
  <conditionalFormatting sqref="C35:R42">
    <cfRule type="expression" dxfId="2" priority="1">
      <formula>OR(C$35=$W$26,C$35=$W$27,C$35=$W$28,C$35=$W$29,C$35=$W$30,C$35=$W$31,C$35=$W$32,C$35=$W$33)</formula>
    </cfRule>
    <cfRule type="expression" dxfId="1" priority="3">
      <formula>WEEKDAY(C$35,2)&gt;5</formula>
    </cfRule>
  </conditionalFormatting>
  <conditionalFormatting sqref="C26:R33">
    <cfRule type="expression" dxfId="0" priority="2">
      <formula>OR(C$26=$W$26,C$26=$W$27,C$26=$W$28,C$26=$W$29,C$26=$W$30,C$26=$W$31,C$26=$W$32,C$26=$W$33)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A6574-2B6A-4CE7-B94D-B81E3002ED62}">
  <sheetPr codeName="Sheet19"/>
  <dimension ref="B1:G20"/>
  <sheetViews>
    <sheetView workbookViewId="0">
      <selection activeCell="B1" sqref="B1"/>
    </sheetView>
  </sheetViews>
  <sheetFormatPr defaultRowHeight="16.5"/>
  <cols>
    <col min="1" max="1" width="3.625" customWidth="1"/>
    <col min="2" max="2" width="24" bestFit="1" customWidth="1"/>
    <col min="3" max="5" width="10.75" bestFit="1" customWidth="1"/>
    <col min="6" max="7" width="10.75" customWidth="1"/>
    <col min="8" max="8" width="2.375" customWidth="1"/>
    <col min="9" max="9" width="3.375" customWidth="1"/>
  </cols>
  <sheetData>
    <row r="1" spans="2:7" ht="16.5" customHeight="1"/>
    <row r="2" spans="2:7" ht="48.75" customHeight="1">
      <c r="B2" s="122" t="s">
        <v>267</v>
      </c>
      <c r="C2" s="123" t="s">
        <v>416</v>
      </c>
      <c r="D2" s="123" t="s">
        <v>417</v>
      </c>
      <c r="E2" s="123" t="s">
        <v>415</v>
      </c>
      <c r="F2" s="123" t="s">
        <v>413</v>
      </c>
      <c r="G2" s="122" t="s">
        <v>414</v>
      </c>
    </row>
    <row r="3" spans="2:7" ht="17.25" customHeight="1">
      <c r="B3" s="124">
        <v>42735</v>
      </c>
      <c r="C3" s="6"/>
      <c r="D3" s="6"/>
      <c r="E3" s="6"/>
      <c r="F3" s="6"/>
      <c r="G3" s="6"/>
    </row>
    <row r="4" spans="2:7" ht="17.25" customHeight="1">
      <c r="B4" s="124">
        <v>42737</v>
      </c>
      <c r="C4" s="6"/>
      <c r="D4" s="6"/>
      <c r="E4" s="6"/>
      <c r="F4" s="6"/>
      <c r="G4" s="6"/>
    </row>
    <row r="5" spans="2:7" ht="17.25" customHeight="1">
      <c r="B5" s="124">
        <v>42738</v>
      </c>
      <c r="C5" s="6"/>
      <c r="D5" s="6"/>
      <c r="E5" s="6"/>
      <c r="F5" s="6"/>
      <c r="G5" s="6"/>
    </row>
    <row r="6" spans="2:7" ht="17.25" customHeight="1">
      <c r="B6" s="124">
        <v>42739</v>
      </c>
      <c r="C6" s="6"/>
      <c r="D6" s="6"/>
      <c r="E6" s="6"/>
      <c r="F6" s="6"/>
      <c r="G6" s="6"/>
    </row>
    <row r="7" spans="2:7" ht="17.25" customHeight="1">
      <c r="B7" s="124">
        <v>42740</v>
      </c>
      <c r="C7" s="6"/>
      <c r="D7" s="6"/>
      <c r="E7" s="6"/>
      <c r="F7" s="6"/>
      <c r="G7" s="6"/>
    </row>
    <row r="8" spans="2:7" ht="17.25" customHeight="1">
      <c r="B8" s="124">
        <v>42741</v>
      </c>
      <c r="C8" s="6"/>
      <c r="D8" s="6"/>
      <c r="E8" s="6"/>
      <c r="F8" s="6"/>
      <c r="G8" s="6"/>
    </row>
    <row r="9" spans="2:7" ht="17.25" customHeight="1">
      <c r="B9" s="124">
        <v>42742</v>
      </c>
      <c r="C9" s="6"/>
      <c r="D9" s="6"/>
      <c r="E9" s="6"/>
      <c r="F9" s="6"/>
      <c r="G9" s="6"/>
    </row>
    <row r="10" spans="2:7" ht="17.25" customHeight="1">
      <c r="B10" s="124">
        <v>42743</v>
      </c>
      <c r="C10" s="6"/>
      <c r="D10" s="6"/>
      <c r="E10" s="6"/>
      <c r="F10" s="6"/>
      <c r="G10" s="6"/>
    </row>
    <row r="11" spans="2:7" ht="17.25" customHeight="1">
      <c r="B11" s="124">
        <v>42744</v>
      </c>
      <c r="C11" s="6"/>
      <c r="D11" s="6"/>
      <c r="E11" s="6"/>
      <c r="F11" s="6"/>
      <c r="G11" s="6"/>
    </row>
    <row r="12" spans="2:7" ht="17.25" customHeight="1">
      <c r="B12" s="124">
        <v>42745</v>
      </c>
      <c r="C12" s="6"/>
      <c r="D12" s="6"/>
      <c r="E12" s="6"/>
      <c r="F12" s="6"/>
      <c r="G12" s="6"/>
    </row>
    <row r="13" spans="2:7" ht="17.25" customHeight="1">
      <c r="B13" s="124">
        <v>42746</v>
      </c>
      <c r="C13" s="6"/>
      <c r="D13" s="6"/>
      <c r="E13" s="6"/>
      <c r="F13" s="6"/>
      <c r="G13" s="6"/>
    </row>
    <row r="14" spans="2:7" ht="17.25" customHeight="1">
      <c r="B14" s="124">
        <v>42747</v>
      </c>
      <c r="C14" s="6"/>
      <c r="D14" s="6"/>
      <c r="E14" s="6"/>
      <c r="F14" s="6"/>
      <c r="G14" s="6"/>
    </row>
    <row r="15" spans="2:7" ht="17.25" customHeight="1">
      <c r="B15" s="124">
        <v>42748</v>
      </c>
      <c r="C15" s="6"/>
      <c r="D15" s="6"/>
      <c r="E15" s="6"/>
      <c r="F15" s="6"/>
      <c r="G15" s="6"/>
    </row>
    <row r="16" spans="2:7" ht="17.25" customHeight="1">
      <c r="B16" s="124">
        <v>42749</v>
      </c>
      <c r="C16" s="6"/>
      <c r="D16" s="6"/>
      <c r="E16" s="6"/>
      <c r="F16" s="6"/>
      <c r="G16" s="6"/>
    </row>
    <row r="17" spans="2:7" ht="17.25" customHeight="1">
      <c r="B17" s="124">
        <v>42750</v>
      </c>
      <c r="C17" s="6"/>
      <c r="D17" s="6"/>
      <c r="E17" s="6"/>
      <c r="F17" s="6"/>
      <c r="G17" s="6"/>
    </row>
    <row r="18" spans="2:7" ht="17.25" customHeight="1">
      <c r="B18" s="124">
        <v>42751</v>
      </c>
      <c r="C18" s="6"/>
      <c r="D18" s="6"/>
      <c r="E18" s="6"/>
      <c r="F18" s="6"/>
      <c r="G18" s="6"/>
    </row>
    <row r="19" spans="2:7" ht="17.25" customHeight="1">
      <c r="B19" s="124">
        <v>42752</v>
      </c>
      <c r="C19" s="6"/>
      <c r="D19" s="6"/>
      <c r="E19" s="6"/>
      <c r="F19" s="6"/>
      <c r="G19" s="6"/>
    </row>
    <row r="20" spans="2:7" ht="17.25" customHeight="1">
      <c r="B20" s="124">
        <v>42753</v>
      </c>
      <c r="C20" s="6"/>
      <c r="D20" s="6"/>
      <c r="E20" s="6"/>
      <c r="F20" s="6"/>
      <c r="G20" s="6"/>
    </row>
  </sheetData>
  <phoneticPr fontId="2" type="noConversion"/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11CBDE-7362-4158-A975-6958E2D6D4A0}">
  <sheetPr codeName="Sheet20"/>
  <dimension ref="B2:K20"/>
  <sheetViews>
    <sheetView workbookViewId="0">
      <selection activeCell="B1" sqref="B1"/>
    </sheetView>
  </sheetViews>
  <sheetFormatPr defaultRowHeight="16.5"/>
  <cols>
    <col min="1" max="1" width="3.5" customWidth="1"/>
    <col min="2" max="2" width="10.5" customWidth="1"/>
    <col min="3" max="3" width="17.75" customWidth="1"/>
    <col min="4" max="4" width="52" customWidth="1"/>
    <col min="5" max="5" width="11.125" bestFit="1" customWidth="1"/>
    <col min="7" max="8" width="11.375" customWidth="1"/>
    <col min="10" max="10" width="11.125" bestFit="1" customWidth="1"/>
  </cols>
  <sheetData>
    <row r="2" spans="2:11" ht="27" customHeight="1">
      <c r="B2" s="130">
        <v>43840</v>
      </c>
      <c r="E2" s="103" t="s">
        <v>267</v>
      </c>
      <c r="F2" s="103" t="s">
        <v>3</v>
      </c>
      <c r="G2" s="103" t="s">
        <v>428</v>
      </c>
      <c r="H2" s="103" t="s">
        <v>429</v>
      </c>
      <c r="I2" s="103" t="s">
        <v>430</v>
      </c>
      <c r="J2" s="103"/>
      <c r="K2" s="103"/>
    </row>
    <row r="3" spans="2:11" ht="27" customHeight="1">
      <c r="B3" s="109"/>
      <c r="E3" s="106">
        <v>36749</v>
      </c>
      <c r="F3" s="6">
        <v>3</v>
      </c>
      <c r="G3" s="130"/>
      <c r="H3" s="6"/>
      <c r="I3" s="6"/>
      <c r="J3" s="130"/>
      <c r="K3" s="6"/>
    </row>
    <row r="4" spans="2:11" ht="27" customHeight="1">
      <c r="E4" s="106">
        <v>36818</v>
      </c>
      <c r="F4" s="6">
        <v>4</v>
      </c>
      <c r="G4" s="130"/>
      <c r="H4" s="6"/>
      <c r="I4" s="6"/>
      <c r="J4" s="130"/>
      <c r="K4" s="6"/>
    </row>
    <row r="5" spans="2:11" ht="27" customHeight="1">
      <c r="E5" s="106">
        <v>36680</v>
      </c>
      <c r="F5" s="6">
        <v>1</v>
      </c>
      <c r="G5" s="130"/>
      <c r="H5" s="6"/>
      <c r="I5" s="6"/>
      <c r="J5" s="130"/>
      <c r="K5" s="6"/>
    </row>
    <row r="6" spans="2:11" ht="27" customHeight="1">
      <c r="E6" s="106">
        <v>36676</v>
      </c>
      <c r="F6" s="6">
        <v>0</v>
      </c>
      <c r="G6" s="130"/>
      <c r="H6" s="6"/>
      <c r="I6" s="6"/>
      <c r="J6" s="130"/>
      <c r="K6" s="6"/>
    </row>
    <row r="7" spans="2:11" ht="27" customHeight="1">
      <c r="E7" s="106">
        <v>36649</v>
      </c>
      <c r="F7" s="6">
        <v>-1</v>
      </c>
      <c r="G7" s="130"/>
      <c r="H7" s="6"/>
      <c r="I7" s="6"/>
      <c r="J7" s="130"/>
      <c r="K7" s="6"/>
    </row>
    <row r="8" spans="2:11" ht="27" customHeight="1">
      <c r="E8" s="106">
        <v>36730</v>
      </c>
      <c r="F8" s="6">
        <v>-2</v>
      </c>
      <c r="G8" s="130"/>
      <c r="H8" s="6"/>
      <c r="I8" s="6"/>
      <c r="J8" s="130"/>
      <c r="K8" s="6"/>
    </row>
    <row r="9" spans="2:11" ht="27" customHeight="1">
      <c r="E9" s="106">
        <v>36739</v>
      </c>
      <c r="F9" s="6">
        <v>-3</v>
      </c>
      <c r="G9" s="130"/>
      <c r="H9" s="6"/>
      <c r="I9" s="6"/>
      <c r="J9" s="130"/>
      <c r="K9" s="6"/>
    </row>
    <row r="10" spans="2:11" ht="27" customHeight="1"/>
    <row r="11" spans="2:11" ht="27" customHeight="1">
      <c r="B11" s="130">
        <f>EOMONTH(B2,3)</f>
        <v>43951</v>
      </c>
      <c r="C11" s="52"/>
    </row>
    <row r="12" spans="2:11" ht="27" customHeight="1">
      <c r="G12" s="109"/>
    </row>
    <row r="13" spans="2:11" ht="27" customHeight="1"/>
    <row r="14" spans="2:11" ht="30.75" customHeight="1"/>
    <row r="15" spans="2:11" ht="25.5" customHeight="1"/>
    <row r="16" spans="2:11" ht="25.5" customHeight="1"/>
    <row r="17" ht="25.5" customHeight="1"/>
    <row r="18" ht="25.5" customHeight="1"/>
    <row r="19" ht="25.5" customHeight="1"/>
    <row r="20" ht="44.25" customHeight="1"/>
  </sheetData>
  <phoneticPr fontId="2" type="noConversion"/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4903E-3880-40A7-A211-17D3D6059706}">
  <sheetPr codeName="Sheet24"/>
  <dimension ref="B2:R18"/>
  <sheetViews>
    <sheetView workbookViewId="0">
      <selection activeCell="B1" sqref="B1"/>
    </sheetView>
  </sheetViews>
  <sheetFormatPr defaultRowHeight="16.5"/>
  <cols>
    <col min="1" max="1" width="3.625" customWidth="1"/>
    <col min="2" max="2" width="11.125" bestFit="1" customWidth="1"/>
    <col min="3" max="3" width="7.875" bestFit="1" customWidth="1"/>
    <col min="4" max="4" width="8.625" bestFit="1" customWidth="1"/>
    <col min="5" max="5" width="8.25" bestFit="1" customWidth="1"/>
    <col min="7" max="7" width="9.25" customWidth="1"/>
    <col min="8" max="8" width="16.75" bestFit="1" customWidth="1"/>
    <col min="9" max="9" width="2.625" customWidth="1"/>
    <col min="10" max="11" width="11.125" bestFit="1" customWidth="1"/>
    <col min="13" max="13" width="2.625" customWidth="1"/>
    <col min="14" max="15" width="12.5" customWidth="1"/>
    <col min="16" max="16" width="11.125" bestFit="1" customWidth="1"/>
    <col min="18" max="18" width="11.125" bestFit="1" customWidth="1"/>
  </cols>
  <sheetData>
    <row r="2" spans="2:18">
      <c r="B2" s="104" t="s">
        <v>418</v>
      </c>
      <c r="C2" s="243">
        <v>43639</v>
      </c>
      <c r="D2" s="221"/>
      <c r="N2" s="232" t="s">
        <v>418</v>
      </c>
      <c r="O2" s="234"/>
      <c r="P2" s="243">
        <v>43639</v>
      </c>
      <c r="Q2" s="221"/>
      <c r="R2" s="109"/>
    </row>
    <row r="3" spans="2:18" ht="24" customHeight="1">
      <c r="B3" s="103" t="s">
        <v>375</v>
      </c>
      <c r="C3" s="103" t="s">
        <v>419</v>
      </c>
      <c r="D3" s="103" t="s">
        <v>420</v>
      </c>
      <c r="E3" s="103" t="s">
        <v>421</v>
      </c>
      <c r="F3" s="103" t="s">
        <v>422</v>
      </c>
      <c r="G3" s="103" t="s">
        <v>423</v>
      </c>
      <c r="H3" s="103" t="s">
        <v>138</v>
      </c>
      <c r="J3" s="103" t="s">
        <v>424</v>
      </c>
      <c r="K3" s="103" t="s">
        <v>425</v>
      </c>
      <c r="L3" s="103" t="s">
        <v>426</v>
      </c>
      <c r="N3" s="103" t="s">
        <v>372</v>
      </c>
      <c r="O3" s="103" t="s">
        <v>427</v>
      </c>
      <c r="P3" s="103" t="s">
        <v>373</v>
      </c>
      <c r="Q3" s="103" t="s">
        <v>373</v>
      </c>
    </row>
    <row r="4" spans="2:18" ht="26.25" customHeight="1">
      <c r="B4" s="106">
        <v>42830</v>
      </c>
      <c r="C4" s="6"/>
      <c r="D4" s="6"/>
      <c r="E4" s="6"/>
      <c r="F4" s="6"/>
      <c r="G4" s="6"/>
      <c r="H4" s="125"/>
      <c r="J4" s="126">
        <v>43131</v>
      </c>
      <c r="K4" s="126">
        <v>43159</v>
      </c>
      <c r="L4" s="127"/>
      <c r="M4" s="109"/>
      <c r="N4" s="106">
        <v>33096</v>
      </c>
      <c r="O4" s="107"/>
      <c r="P4" s="107"/>
      <c r="Q4" s="107"/>
    </row>
    <row r="5" spans="2:18" ht="26.25" customHeight="1">
      <c r="B5" s="106">
        <v>40563</v>
      </c>
      <c r="C5" s="6"/>
      <c r="D5" s="6"/>
      <c r="E5" s="6"/>
      <c r="F5" s="6"/>
      <c r="G5" s="6"/>
      <c r="H5" s="125"/>
      <c r="J5" s="126">
        <v>43131</v>
      </c>
      <c r="K5" s="126">
        <v>43190</v>
      </c>
      <c r="L5" s="127"/>
      <c r="M5" s="109"/>
      <c r="N5" s="106">
        <v>30608</v>
      </c>
      <c r="O5" s="106"/>
      <c r="P5" s="107"/>
      <c r="Q5" s="107"/>
    </row>
    <row r="6" spans="2:18" ht="26.25" customHeight="1">
      <c r="B6" s="106">
        <v>40809</v>
      </c>
      <c r="C6" s="6"/>
      <c r="D6" s="6"/>
      <c r="E6" s="6"/>
      <c r="F6" s="6"/>
      <c r="G6" s="6"/>
      <c r="H6" s="125"/>
      <c r="J6" s="126">
        <v>43131</v>
      </c>
      <c r="K6" s="126">
        <v>43220</v>
      </c>
      <c r="L6" s="127"/>
      <c r="M6" s="109"/>
      <c r="N6" s="106">
        <v>31201</v>
      </c>
      <c r="O6" s="106"/>
      <c r="P6" s="107"/>
      <c r="Q6" s="107"/>
    </row>
    <row r="7" spans="2:18" ht="26.25" customHeight="1">
      <c r="B7" s="106">
        <v>42269</v>
      </c>
      <c r="C7" s="6"/>
      <c r="D7" s="6"/>
      <c r="E7" s="6"/>
      <c r="F7" s="6"/>
      <c r="G7" s="6"/>
      <c r="H7" s="125"/>
      <c r="J7" s="126">
        <v>43131</v>
      </c>
      <c r="K7" s="126">
        <v>43251</v>
      </c>
      <c r="L7" s="127"/>
      <c r="M7" s="109"/>
      <c r="N7" s="106">
        <v>31927</v>
      </c>
      <c r="O7" s="106"/>
      <c r="P7" s="107"/>
      <c r="Q7" s="107"/>
    </row>
    <row r="8" spans="2:18" ht="26.25" customHeight="1">
      <c r="B8" s="106">
        <v>35622</v>
      </c>
      <c r="C8" s="6"/>
      <c r="D8" s="6"/>
      <c r="E8" s="6"/>
      <c r="F8" s="6"/>
      <c r="G8" s="6"/>
      <c r="H8" s="125"/>
      <c r="J8" s="126">
        <v>43131</v>
      </c>
      <c r="K8" s="126">
        <v>43281</v>
      </c>
      <c r="L8" s="127"/>
      <c r="M8" s="109"/>
      <c r="N8" s="106">
        <v>26056</v>
      </c>
      <c r="O8" s="106"/>
      <c r="P8" s="107"/>
      <c r="Q8" s="107"/>
    </row>
    <row r="9" spans="2:18" ht="26.25" customHeight="1">
      <c r="B9" s="106">
        <v>39708</v>
      </c>
      <c r="C9" s="6"/>
      <c r="D9" s="6"/>
      <c r="E9" s="6"/>
      <c r="F9" s="6"/>
      <c r="G9" s="6"/>
      <c r="H9" s="125"/>
      <c r="J9" s="128">
        <v>43101</v>
      </c>
      <c r="K9" s="128">
        <v>43131</v>
      </c>
      <c r="L9" s="129"/>
      <c r="M9" s="109"/>
      <c r="N9" s="106">
        <v>29790</v>
      </c>
      <c r="O9" s="106"/>
      <c r="P9" s="107"/>
      <c r="Q9" s="107"/>
    </row>
    <row r="10" spans="2:18" ht="26.25" customHeight="1">
      <c r="B10" s="106">
        <v>42332</v>
      </c>
      <c r="C10" s="6"/>
      <c r="D10" s="6"/>
      <c r="E10" s="6"/>
      <c r="F10" s="6"/>
      <c r="G10" s="6"/>
      <c r="H10" s="125"/>
      <c r="J10" s="128">
        <v>43101</v>
      </c>
      <c r="K10" s="128">
        <v>43159</v>
      </c>
      <c r="L10" s="129"/>
      <c r="M10" s="109"/>
      <c r="N10" s="106">
        <v>32356</v>
      </c>
      <c r="O10" s="106"/>
      <c r="P10" s="107"/>
      <c r="Q10" s="107"/>
    </row>
    <row r="11" spans="2:18" ht="26.25" customHeight="1">
      <c r="B11" s="106">
        <v>42009</v>
      </c>
      <c r="C11" s="6"/>
      <c r="D11" s="6"/>
      <c r="E11" s="6"/>
      <c r="F11" s="6"/>
      <c r="G11" s="6"/>
      <c r="H11" s="125"/>
      <c r="J11" s="128">
        <v>43101</v>
      </c>
      <c r="K11" s="128">
        <v>43190</v>
      </c>
      <c r="L11" s="129"/>
      <c r="M11" s="109"/>
      <c r="N11" s="106">
        <v>33237</v>
      </c>
      <c r="O11" s="106"/>
      <c r="P11" s="107"/>
      <c r="Q11" s="107"/>
    </row>
    <row r="12" spans="2:18" ht="26.25" customHeight="1">
      <c r="B12" s="106">
        <v>35270</v>
      </c>
      <c r="C12" s="6"/>
      <c r="D12" s="6"/>
      <c r="E12" s="6"/>
      <c r="F12" s="6"/>
      <c r="G12" s="6"/>
      <c r="H12" s="125"/>
      <c r="J12" s="128">
        <v>43101</v>
      </c>
      <c r="K12" s="128">
        <v>43220</v>
      </c>
      <c r="L12" s="129"/>
      <c r="M12" s="109"/>
      <c r="N12" s="106">
        <v>25248</v>
      </c>
      <c r="O12" s="106"/>
      <c r="P12" s="107"/>
      <c r="Q12" s="107"/>
    </row>
    <row r="13" spans="2:18" ht="26.25" customHeight="1">
      <c r="B13" s="106">
        <v>37421</v>
      </c>
      <c r="C13" s="6"/>
      <c r="D13" s="6"/>
      <c r="E13" s="6"/>
      <c r="F13" s="6"/>
      <c r="G13" s="6"/>
      <c r="H13" s="125"/>
      <c r="J13" s="128">
        <v>43101</v>
      </c>
      <c r="K13" s="128">
        <v>43251</v>
      </c>
      <c r="L13" s="129"/>
      <c r="M13" s="109"/>
      <c r="N13" s="106">
        <v>27389</v>
      </c>
      <c r="O13" s="106"/>
      <c r="P13" s="107"/>
      <c r="Q13" s="107"/>
    </row>
    <row r="14" spans="2:18" ht="24" customHeight="1"/>
    <row r="15" spans="2:18" ht="24" customHeight="1">
      <c r="N15" s="109"/>
      <c r="O15" s="109"/>
    </row>
    <row r="16" spans="2:18" ht="24" customHeight="1">
      <c r="N16" s="109"/>
    </row>
    <row r="17" ht="24" customHeight="1"/>
    <row r="18" ht="24" customHeight="1"/>
  </sheetData>
  <mergeCells count="3">
    <mergeCell ref="N2:O2"/>
    <mergeCell ref="P2:Q2"/>
    <mergeCell ref="C2:D2"/>
  </mergeCells>
  <phoneticPr fontId="2" type="noConversion"/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C792CA-EDC8-4694-B699-EC1ECE9EE1B7}">
  <sheetPr codeName="Sheet27"/>
  <dimension ref="B2:T21"/>
  <sheetViews>
    <sheetView workbookViewId="0">
      <selection activeCell="B1" sqref="B1"/>
    </sheetView>
  </sheetViews>
  <sheetFormatPr defaultRowHeight="16.5"/>
  <cols>
    <col min="1" max="1" width="3.625" customWidth="1"/>
    <col min="2" max="3" width="15.25" bestFit="1" customWidth="1"/>
    <col min="4" max="4" width="2.25" customWidth="1"/>
    <col min="6" max="6" width="15.25" bestFit="1" customWidth="1"/>
    <col min="7" max="7" width="3.375" customWidth="1"/>
    <col min="8" max="8" width="15.25" bestFit="1" customWidth="1"/>
    <col min="9" max="9" width="1.25" customWidth="1"/>
    <col min="10" max="10" width="5.75" bestFit="1" customWidth="1"/>
    <col min="11" max="11" width="17.875" bestFit="1" customWidth="1"/>
    <col min="12" max="12" width="15.25" bestFit="1" customWidth="1"/>
    <col min="13" max="13" width="9.75" bestFit="1" customWidth="1"/>
    <col min="14" max="14" width="15.25" bestFit="1" customWidth="1"/>
    <col min="16" max="16" width="15.25" bestFit="1" customWidth="1"/>
    <col min="17" max="17" width="12.625" customWidth="1"/>
    <col min="18" max="19" width="15.25" bestFit="1" customWidth="1"/>
    <col min="20" max="20" width="9.75" bestFit="1" customWidth="1"/>
  </cols>
  <sheetData>
    <row r="2" spans="2:20" ht="20.25">
      <c r="B2" s="142">
        <v>43003</v>
      </c>
      <c r="C2" s="143">
        <v>43016</v>
      </c>
      <c r="E2" s="131" t="s">
        <v>431</v>
      </c>
      <c r="F2" s="134">
        <v>43003</v>
      </c>
      <c r="G2" s="141"/>
      <c r="H2" s="144"/>
      <c r="J2" s="244" t="s">
        <v>432</v>
      </c>
      <c r="K2" s="244"/>
      <c r="L2" s="244"/>
      <c r="M2" s="244"/>
      <c r="N2" s="244"/>
    </row>
    <row r="3" spans="2:20" ht="17.25">
      <c r="B3" s="142">
        <v>43004</v>
      </c>
      <c r="C3" s="142">
        <v>43017</v>
      </c>
      <c r="J3" s="135" t="s">
        <v>433</v>
      </c>
      <c r="K3" s="135" t="s">
        <v>434</v>
      </c>
      <c r="L3" s="135" t="s">
        <v>435</v>
      </c>
      <c r="M3" s="135" t="s">
        <v>436</v>
      </c>
      <c r="N3" s="135" t="s">
        <v>437</v>
      </c>
      <c r="P3" s="135" t="s">
        <v>438</v>
      </c>
      <c r="Q3" s="135" t="s">
        <v>434</v>
      </c>
      <c r="R3" s="135" t="s">
        <v>435</v>
      </c>
      <c r="S3" s="135" t="s">
        <v>437</v>
      </c>
    </row>
    <row r="4" spans="2:20" ht="17.25">
      <c r="B4" s="142">
        <v>43005</v>
      </c>
      <c r="C4" s="142">
        <v>43018</v>
      </c>
      <c r="E4" s="131" t="s">
        <v>439</v>
      </c>
      <c r="F4" s="131" t="s">
        <v>440</v>
      </c>
      <c r="G4" s="12"/>
      <c r="H4" s="131" t="s">
        <v>464</v>
      </c>
      <c r="J4" s="136">
        <v>1</v>
      </c>
      <c r="K4" s="136" t="s">
        <v>441</v>
      </c>
      <c r="L4" s="133">
        <v>43003</v>
      </c>
      <c r="M4" s="137">
        <v>3</v>
      </c>
      <c r="N4" s="140"/>
      <c r="P4" s="132">
        <v>2</v>
      </c>
      <c r="Q4" s="132" t="str">
        <f>VLOOKUP(P4,J4:N8,2,0)</f>
        <v>파워포인트 기초</v>
      </c>
      <c r="R4" s="133">
        <f>VLOOKUP(P4,J4:N8,3,0)</f>
        <v>43003</v>
      </c>
      <c r="S4" s="133">
        <f>VLOOKUP(P4,J4:N8,5,0)</f>
        <v>0</v>
      </c>
    </row>
    <row r="5" spans="2:20" ht="17.25">
      <c r="B5" s="142">
        <v>43006</v>
      </c>
      <c r="C5" s="142">
        <v>43019</v>
      </c>
      <c r="E5" s="6">
        <v>1</v>
      </c>
      <c r="F5" s="134"/>
      <c r="G5" s="12"/>
      <c r="H5" s="115"/>
      <c r="J5" s="136">
        <v>2</v>
      </c>
      <c r="K5" s="136" t="s">
        <v>442</v>
      </c>
      <c r="L5" s="133">
        <v>43003</v>
      </c>
      <c r="M5" s="137">
        <v>8</v>
      </c>
      <c r="N5" s="140"/>
      <c r="P5" s="12"/>
      <c r="Q5" s="12"/>
      <c r="R5" s="12"/>
      <c r="S5" s="12"/>
    </row>
    <row r="6" spans="2:20" ht="17.25">
      <c r="B6" s="142">
        <v>43007</v>
      </c>
      <c r="C6" s="142">
        <v>43020</v>
      </c>
      <c r="E6" s="6">
        <v>2</v>
      </c>
      <c r="F6" s="134"/>
      <c r="G6" s="12"/>
      <c r="H6" s="115"/>
      <c r="J6" s="136">
        <v>3</v>
      </c>
      <c r="K6" s="136" t="s">
        <v>443</v>
      </c>
      <c r="L6" s="133">
        <v>43003</v>
      </c>
      <c r="M6" s="137">
        <v>10</v>
      </c>
      <c r="N6" s="140"/>
      <c r="P6" s="245" t="str">
        <f>P4&amp;"차 교육기간"</f>
        <v>2차 교육기간</v>
      </c>
      <c r="Q6" s="245"/>
      <c r="R6" s="221" t="str">
        <f>YEAR(R4)&amp;"."&amp;MONTH(R4)&amp;"."&amp;DAY(R4)&amp;" ~ "&amp;YEAR(S4)&amp;"."&amp;MONTH(S4)&amp;"."&amp;DAY(S4)</f>
        <v>2017.9.25 ~ 1900.1.0</v>
      </c>
      <c r="S6" s="221"/>
      <c r="T6" s="221"/>
    </row>
    <row r="7" spans="2:20" ht="17.25">
      <c r="B7" s="143">
        <v>43008</v>
      </c>
      <c r="C7" s="142">
        <v>43021</v>
      </c>
      <c r="E7" s="6">
        <v>3</v>
      </c>
      <c r="F7" s="134"/>
      <c r="G7" s="12"/>
      <c r="H7" s="115"/>
      <c r="J7" s="136">
        <v>4</v>
      </c>
      <c r="K7" s="136" t="s">
        <v>444</v>
      </c>
      <c r="L7" s="133">
        <v>43003</v>
      </c>
      <c r="M7" s="137">
        <v>20</v>
      </c>
      <c r="N7" s="140"/>
    </row>
    <row r="8" spans="2:20" ht="17.25">
      <c r="B8" s="143">
        <v>43009</v>
      </c>
      <c r="C8" s="143">
        <v>43022</v>
      </c>
      <c r="E8" s="6">
        <v>4</v>
      </c>
      <c r="F8" s="134"/>
      <c r="G8" s="12"/>
      <c r="H8" s="115"/>
      <c r="J8" s="136">
        <v>5</v>
      </c>
      <c r="K8" s="136" t="s">
        <v>445</v>
      </c>
      <c r="L8" s="133">
        <v>43003</v>
      </c>
      <c r="M8" s="137">
        <v>30</v>
      </c>
      <c r="N8" s="140"/>
      <c r="P8" s="246" t="s">
        <v>465</v>
      </c>
      <c r="Q8" s="246"/>
      <c r="R8" s="246"/>
    </row>
    <row r="9" spans="2:20" ht="17.25">
      <c r="B9" s="142">
        <v>43010</v>
      </c>
      <c r="C9" s="143">
        <v>43023</v>
      </c>
      <c r="E9" s="6">
        <v>5</v>
      </c>
      <c r="F9" s="134"/>
      <c r="G9" s="12"/>
      <c r="H9" s="115"/>
      <c r="J9" s="6"/>
      <c r="K9" s="6"/>
      <c r="L9" s="133"/>
      <c r="M9" s="137"/>
      <c r="N9" s="140"/>
      <c r="P9" s="135" t="s">
        <v>466</v>
      </c>
      <c r="Q9" s="135" t="s">
        <v>468</v>
      </c>
      <c r="R9" s="135" t="s">
        <v>467</v>
      </c>
    </row>
    <row r="10" spans="2:20">
      <c r="B10" s="142">
        <v>43011</v>
      </c>
      <c r="C10" s="142">
        <v>43024</v>
      </c>
      <c r="E10" s="6">
        <v>6</v>
      </c>
      <c r="F10" s="134"/>
      <c r="G10" s="12"/>
      <c r="H10" s="115"/>
      <c r="J10" s="6"/>
      <c r="K10" s="6"/>
      <c r="L10" s="133"/>
      <c r="M10" s="137"/>
      <c r="N10" s="140"/>
      <c r="P10" s="133">
        <v>43003</v>
      </c>
      <c r="Q10" s="138"/>
      <c r="R10" s="140"/>
    </row>
    <row r="11" spans="2:20">
      <c r="B11" s="142">
        <v>43012</v>
      </c>
      <c r="C11" s="142">
        <v>43025</v>
      </c>
      <c r="E11" s="6">
        <v>7</v>
      </c>
      <c r="F11" s="134"/>
      <c r="G11" s="12"/>
      <c r="H11" s="6"/>
      <c r="J11" s="6"/>
      <c r="K11" s="6"/>
      <c r="L11" s="133"/>
      <c r="M11" s="137"/>
      <c r="N11" s="140"/>
      <c r="Q11" s="139"/>
      <c r="R11" s="139"/>
    </row>
    <row r="12" spans="2:20">
      <c r="B12" s="142">
        <v>43013</v>
      </c>
      <c r="C12" s="142">
        <v>43026</v>
      </c>
      <c r="E12" s="6">
        <v>8</v>
      </c>
      <c r="F12" s="134"/>
      <c r="G12" s="12"/>
      <c r="H12" s="6"/>
      <c r="J12" s="6"/>
      <c r="K12" s="6"/>
      <c r="L12" s="133"/>
      <c r="M12" s="137"/>
      <c r="N12" s="140"/>
    </row>
    <row r="13" spans="2:20">
      <c r="B13" s="142">
        <v>43014</v>
      </c>
      <c r="C13" s="142">
        <v>43027</v>
      </c>
      <c r="E13" s="6">
        <v>9</v>
      </c>
      <c r="F13" s="134"/>
      <c r="G13" s="12"/>
      <c r="H13" s="6"/>
      <c r="J13" s="6"/>
      <c r="K13" s="6"/>
      <c r="L13" s="133"/>
      <c r="M13" s="137"/>
      <c r="N13" s="140"/>
    </row>
    <row r="14" spans="2:20">
      <c r="B14" s="143">
        <v>43015</v>
      </c>
      <c r="C14" s="142">
        <v>43028</v>
      </c>
      <c r="E14" s="6">
        <v>10</v>
      </c>
      <c r="F14" s="134"/>
      <c r="G14" s="12"/>
      <c r="H14" s="6"/>
    </row>
    <row r="15" spans="2:20">
      <c r="B15" s="143">
        <v>43016</v>
      </c>
      <c r="C15" s="143">
        <v>43029</v>
      </c>
      <c r="E15" s="6">
        <v>11</v>
      </c>
      <c r="F15" s="134"/>
      <c r="G15" s="12"/>
      <c r="H15" s="6"/>
    </row>
    <row r="16" spans="2:20">
      <c r="B16" s="142">
        <v>43017</v>
      </c>
      <c r="C16" s="143">
        <v>43030</v>
      </c>
      <c r="E16" s="6">
        <v>12</v>
      </c>
      <c r="F16" s="134"/>
      <c r="G16" s="12"/>
      <c r="H16" s="6"/>
    </row>
    <row r="17" spans="2:8">
      <c r="B17" s="142">
        <v>43018</v>
      </c>
      <c r="C17" s="142">
        <v>43031</v>
      </c>
      <c r="E17" s="6">
        <v>13</v>
      </c>
      <c r="F17" s="134"/>
      <c r="G17" s="12"/>
      <c r="H17" s="6"/>
    </row>
    <row r="18" spans="2:8">
      <c r="B18" s="142">
        <v>43019</v>
      </c>
      <c r="C18" s="142">
        <v>43032</v>
      </c>
      <c r="E18" s="6">
        <v>14</v>
      </c>
      <c r="F18" s="134"/>
      <c r="G18" s="12"/>
      <c r="H18" s="6"/>
    </row>
    <row r="19" spans="2:8">
      <c r="B19" s="142">
        <v>43020</v>
      </c>
      <c r="C19" s="142">
        <v>43033</v>
      </c>
      <c r="E19" s="6">
        <v>15</v>
      </c>
      <c r="F19" s="134"/>
      <c r="G19" s="12"/>
      <c r="H19" s="6"/>
    </row>
    <row r="20" spans="2:8">
      <c r="B20" s="142">
        <v>43021</v>
      </c>
      <c r="C20" s="142">
        <v>43034</v>
      </c>
      <c r="E20" s="6">
        <v>16</v>
      </c>
      <c r="F20" s="134"/>
      <c r="G20" s="12"/>
      <c r="H20" s="6"/>
    </row>
    <row r="21" spans="2:8">
      <c r="B21" s="143">
        <v>43022</v>
      </c>
      <c r="C21" s="142">
        <v>43035</v>
      </c>
      <c r="E21" s="6">
        <v>17</v>
      </c>
      <c r="F21" s="134"/>
      <c r="G21" s="12"/>
      <c r="H21" s="6"/>
    </row>
  </sheetData>
  <mergeCells count="4">
    <mergeCell ref="J2:N2"/>
    <mergeCell ref="P6:Q6"/>
    <mergeCell ref="R6:T6"/>
    <mergeCell ref="P8:R8"/>
  </mergeCells>
  <phoneticPr fontId="2" type="noConversion"/>
  <dataValidations count="1">
    <dataValidation type="list" allowBlank="1" showInputMessage="1" showErrorMessage="1" sqref="P4" xr:uid="{D6C8ABA1-55D3-4E85-B4CF-994EA0205E21}">
      <formula1>"1,2,3,4,5"</formula1>
    </dataValidation>
  </dataValidations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DBD91-C152-44C5-88D1-477AF936155A}">
  <sheetPr codeName="Sheet25"/>
  <dimension ref="B1:G19"/>
  <sheetViews>
    <sheetView workbookViewId="0">
      <selection activeCell="B1" sqref="B1"/>
    </sheetView>
  </sheetViews>
  <sheetFormatPr defaultRowHeight="16.5"/>
  <cols>
    <col min="1" max="1" width="3.5" customWidth="1"/>
    <col min="2" max="3" width="14.125" customWidth="1"/>
    <col min="4" max="4" width="1.75" customWidth="1"/>
    <col min="5" max="5" width="15.25" bestFit="1" customWidth="1"/>
    <col min="6" max="6" width="15.875" customWidth="1"/>
    <col min="7" max="7" width="16" customWidth="1"/>
  </cols>
  <sheetData>
    <row r="1" spans="2:7" ht="17.25" thickBot="1"/>
    <row r="2" spans="2:7">
      <c r="B2" s="148">
        <v>43003</v>
      </c>
      <c r="C2" s="148">
        <v>43021</v>
      </c>
      <c r="E2" s="247" t="s">
        <v>470</v>
      </c>
      <c r="F2" s="248"/>
      <c r="G2" s="249"/>
    </row>
    <row r="3" spans="2:7">
      <c r="B3" s="148">
        <v>43004</v>
      </c>
      <c r="C3" s="149">
        <v>43022</v>
      </c>
      <c r="E3" s="250"/>
      <c r="F3" s="221"/>
      <c r="G3" s="222"/>
    </row>
    <row r="4" spans="2:7">
      <c r="B4" s="148">
        <v>43005</v>
      </c>
      <c r="C4" s="149">
        <v>43023</v>
      </c>
      <c r="E4" s="251" t="s">
        <v>471</v>
      </c>
      <c r="F4" s="215" t="s">
        <v>472</v>
      </c>
      <c r="G4" s="252" t="s">
        <v>473</v>
      </c>
    </row>
    <row r="5" spans="2:7">
      <c r="B5" s="148">
        <v>43006</v>
      </c>
      <c r="C5" s="148">
        <v>43024</v>
      </c>
      <c r="E5" s="251"/>
      <c r="F5" s="215"/>
      <c r="G5" s="252"/>
    </row>
    <row r="6" spans="2:7">
      <c r="B6" s="148">
        <v>43007</v>
      </c>
      <c r="C6" s="148">
        <v>43025</v>
      </c>
      <c r="E6" s="253">
        <v>43003</v>
      </c>
      <c r="F6" s="221">
        <v>10</v>
      </c>
      <c r="G6" s="256"/>
    </row>
    <row r="7" spans="2:7" ht="17.25" thickBot="1">
      <c r="B7" s="149">
        <v>43008</v>
      </c>
      <c r="C7" s="148">
        <v>43026</v>
      </c>
      <c r="D7" s="139"/>
      <c r="E7" s="254"/>
      <c r="F7" s="255"/>
      <c r="G7" s="257"/>
    </row>
    <row r="8" spans="2:7">
      <c r="B8" s="149">
        <v>43009</v>
      </c>
      <c r="C8" s="148">
        <v>43027</v>
      </c>
    </row>
    <row r="9" spans="2:7" ht="17.25" thickBot="1">
      <c r="B9" s="148">
        <v>43010</v>
      </c>
      <c r="C9" s="148">
        <v>43028</v>
      </c>
    </row>
    <row r="10" spans="2:7">
      <c r="B10" s="148">
        <v>43011</v>
      </c>
      <c r="C10" s="149">
        <v>43029</v>
      </c>
      <c r="E10" s="247" t="s">
        <v>469</v>
      </c>
      <c r="F10" s="248"/>
      <c r="G10" s="249"/>
    </row>
    <row r="11" spans="2:7" ht="16.5" customHeight="1">
      <c r="B11" s="148">
        <v>43012</v>
      </c>
      <c r="C11" s="149">
        <v>43030</v>
      </c>
      <c r="E11" s="250"/>
      <c r="F11" s="221"/>
      <c r="G11" s="222"/>
    </row>
    <row r="12" spans="2:7">
      <c r="B12" s="148">
        <v>43013</v>
      </c>
      <c r="C12" s="148">
        <v>43031</v>
      </c>
      <c r="E12" s="251" t="s">
        <v>471</v>
      </c>
      <c r="F12" s="215" t="s">
        <v>473</v>
      </c>
      <c r="G12" s="252" t="s">
        <v>472</v>
      </c>
    </row>
    <row r="13" spans="2:7">
      <c r="B13" s="148">
        <v>43014</v>
      </c>
      <c r="C13" s="148">
        <v>43032</v>
      </c>
      <c r="E13" s="251"/>
      <c r="F13" s="215"/>
      <c r="G13" s="252"/>
    </row>
    <row r="14" spans="2:7">
      <c r="B14" s="149">
        <v>43015</v>
      </c>
      <c r="C14" s="148">
        <v>43033</v>
      </c>
      <c r="E14" s="253">
        <v>43003</v>
      </c>
      <c r="F14" s="258"/>
      <c r="G14" s="260"/>
    </row>
    <row r="15" spans="2:7" ht="17.25" thickBot="1">
      <c r="B15" s="149">
        <v>43016</v>
      </c>
      <c r="C15" s="148">
        <v>43034</v>
      </c>
      <c r="E15" s="254"/>
      <c r="F15" s="259"/>
      <c r="G15" s="261"/>
    </row>
    <row r="16" spans="2:7">
      <c r="B16" s="148">
        <v>43017</v>
      </c>
      <c r="C16" s="148">
        <v>43035</v>
      </c>
    </row>
    <row r="17" spans="2:3">
      <c r="B17" s="148">
        <v>43018</v>
      </c>
      <c r="C17" s="149">
        <v>43036</v>
      </c>
    </row>
    <row r="18" spans="2:3">
      <c r="B18" s="148">
        <v>43019</v>
      </c>
      <c r="C18" s="149">
        <v>43037</v>
      </c>
    </row>
    <row r="19" spans="2:3">
      <c r="B19" s="148">
        <v>43020</v>
      </c>
      <c r="C19" s="148">
        <v>43038</v>
      </c>
    </row>
  </sheetData>
  <mergeCells count="14">
    <mergeCell ref="E10:G11"/>
    <mergeCell ref="E12:E13"/>
    <mergeCell ref="F12:F13"/>
    <mergeCell ref="G12:G13"/>
    <mergeCell ref="E14:E15"/>
    <mergeCell ref="F14:F15"/>
    <mergeCell ref="G14:G15"/>
    <mergeCell ref="E2:G3"/>
    <mergeCell ref="E4:E5"/>
    <mergeCell ref="F4:F5"/>
    <mergeCell ref="G4:G5"/>
    <mergeCell ref="E6:E7"/>
    <mergeCell ref="F6:F7"/>
    <mergeCell ref="G6:G7"/>
  </mergeCells>
  <phoneticPr fontId="2" type="noConversion"/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1BBDE6-FAF1-42B4-9E0F-23D74F2110A8}">
  <sheetPr codeName="Sheet26"/>
  <dimension ref="B2:E24"/>
  <sheetViews>
    <sheetView workbookViewId="0">
      <selection activeCell="B1" sqref="B1"/>
    </sheetView>
  </sheetViews>
  <sheetFormatPr defaultRowHeight="16.5"/>
  <cols>
    <col min="1" max="1" width="3.75" customWidth="1"/>
    <col min="2" max="2" width="15.25" bestFit="1" customWidth="1"/>
    <col min="3" max="3" width="11" bestFit="1" customWidth="1"/>
    <col min="4" max="4" width="15.25" bestFit="1" customWidth="1"/>
    <col min="5" max="5" width="11" bestFit="1" customWidth="1"/>
  </cols>
  <sheetData>
    <row r="2" spans="2:5" ht="26.25" customHeight="1">
      <c r="B2" s="262" t="s">
        <v>463</v>
      </c>
      <c r="C2" s="262"/>
      <c r="D2" s="262"/>
      <c r="E2" s="262"/>
    </row>
    <row r="3" spans="2:5" ht="7.5" customHeight="1"/>
    <row r="4" spans="2:5">
      <c r="B4" s="215" t="s">
        <v>446</v>
      </c>
      <c r="C4" s="215"/>
      <c r="D4" s="215" t="s">
        <v>447</v>
      </c>
      <c r="E4" s="215"/>
    </row>
    <row r="5" spans="2:5">
      <c r="B5" s="131" t="s">
        <v>267</v>
      </c>
      <c r="C5" s="131" t="s">
        <v>448</v>
      </c>
      <c r="D5" s="131" t="s">
        <v>267</v>
      </c>
      <c r="E5" s="131" t="s">
        <v>448</v>
      </c>
    </row>
    <row r="6" spans="2:5">
      <c r="B6" s="133">
        <v>42736</v>
      </c>
      <c r="C6" s="132" t="s">
        <v>449</v>
      </c>
      <c r="D6" s="133">
        <v>43101</v>
      </c>
      <c r="E6" s="132" t="s">
        <v>449</v>
      </c>
    </row>
    <row r="7" spans="2:5">
      <c r="B7" s="133">
        <v>42762</v>
      </c>
      <c r="C7" s="132" t="s">
        <v>450</v>
      </c>
      <c r="D7" s="133">
        <v>43146</v>
      </c>
      <c r="E7" s="132" t="s">
        <v>450</v>
      </c>
    </row>
    <row r="8" spans="2:5">
      <c r="B8" s="133">
        <v>42763</v>
      </c>
      <c r="C8" s="132" t="s">
        <v>450</v>
      </c>
      <c r="D8" s="133">
        <v>43147</v>
      </c>
      <c r="E8" s="132" t="s">
        <v>450</v>
      </c>
    </row>
    <row r="9" spans="2:5">
      <c r="B9" s="133">
        <v>42765</v>
      </c>
      <c r="C9" s="132" t="s">
        <v>451</v>
      </c>
      <c r="D9" s="133">
        <v>43148</v>
      </c>
      <c r="E9" s="132" t="s">
        <v>450</v>
      </c>
    </row>
    <row r="10" spans="2:5">
      <c r="B10" s="133">
        <v>42795</v>
      </c>
      <c r="C10" s="132" t="s">
        <v>452</v>
      </c>
      <c r="D10" s="133">
        <v>43160</v>
      </c>
      <c r="E10" s="132" t="s">
        <v>452</v>
      </c>
    </row>
    <row r="11" spans="2:5">
      <c r="B11" s="133">
        <v>42858</v>
      </c>
      <c r="C11" s="132" t="s">
        <v>453</v>
      </c>
      <c r="D11" s="133">
        <v>43225</v>
      </c>
      <c r="E11" s="132" t="s">
        <v>454</v>
      </c>
    </row>
    <row r="12" spans="2:5">
      <c r="B12" s="133">
        <v>42860</v>
      </c>
      <c r="C12" s="132" t="s">
        <v>454</v>
      </c>
      <c r="D12" s="133">
        <v>43227</v>
      </c>
      <c r="E12" s="132" t="s">
        <v>451</v>
      </c>
    </row>
    <row r="13" spans="2:5">
      <c r="B13" s="133">
        <v>42864</v>
      </c>
      <c r="C13" s="132" t="s">
        <v>455</v>
      </c>
      <c r="D13" s="133">
        <v>43242</v>
      </c>
      <c r="E13" s="132" t="s">
        <v>453</v>
      </c>
    </row>
    <row r="14" spans="2:5">
      <c r="B14" s="133">
        <v>42892</v>
      </c>
      <c r="C14" s="132" t="s">
        <v>456</v>
      </c>
      <c r="D14" s="133">
        <v>43257</v>
      </c>
      <c r="E14" s="132" t="s">
        <v>456</v>
      </c>
    </row>
    <row r="15" spans="2:5">
      <c r="B15" s="133">
        <v>42962</v>
      </c>
      <c r="C15" s="132" t="s">
        <v>457</v>
      </c>
      <c r="D15" s="133">
        <v>43264</v>
      </c>
      <c r="E15" s="132" t="s">
        <v>458</v>
      </c>
    </row>
    <row r="16" spans="2:5">
      <c r="B16" s="133">
        <v>43010</v>
      </c>
      <c r="C16" s="132" t="s">
        <v>459</v>
      </c>
      <c r="D16" s="133">
        <v>43327</v>
      </c>
      <c r="E16" s="132" t="s">
        <v>457</v>
      </c>
    </row>
    <row r="17" spans="2:5">
      <c r="B17" s="133">
        <v>43011</v>
      </c>
      <c r="C17" s="132" t="s">
        <v>452</v>
      </c>
      <c r="D17" s="133">
        <v>43367</v>
      </c>
      <c r="E17" s="132" t="s">
        <v>460</v>
      </c>
    </row>
    <row r="18" spans="2:5">
      <c r="B18" s="133">
        <v>43012</v>
      </c>
      <c r="C18" s="132" t="s">
        <v>460</v>
      </c>
      <c r="D18" s="133">
        <v>43368</v>
      </c>
      <c r="E18" s="132" t="s">
        <v>460</v>
      </c>
    </row>
    <row r="19" spans="2:5">
      <c r="B19" s="133">
        <v>43013</v>
      </c>
      <c r="C19" s="132" t="s">
        <v>460</v>
      </c>
      <c r="D19" s="133">
        <v>43369</v>
      </c>
      <c r="E19" s="132" t="s">
        <v>451</v>
      </c>
    </row>
    <row r="20" spans="2:5">
      <c r="B20" s="133">
        <v>43014</v>
      </c>
      <c r="C20" s="132" t="s">
        <v>451</v>
      </c>
      <c r="D20" s="133">
        <v>43376</v>
      </c>
      <c r="E20" s="132" t="s">
        <v>452</v>
      </c>
    </row>
    <row r="21" spans="2:5">
      <c r="B21" s="133">
        <v>43017</v>
      </c>
      <c r="C21" s="132" t="s">
        <v>461</v>
      </c>
      <c r="D21" s="133">
        <v>43382</v>
      </c>
      <c r="E21" s="132" t="s">
        <v>461</v>
      </c>
    </row>
    <row r="22" spans="2:5">
      <c r="B22" s="133">
        <v>43094</v>
      </c>
      <c r="C22" s="132" t="s">
        <v>462</v>
      </c>
      <c r="D22" s="133">
        <v>43459</v>
      </c>
      <c r="E22" s="132" t="s">
        <v>462</v>
      </c>
    </row>
    <row r="23" spans="2:5">
      <c r="B23" s="133"/>
      <c r="C23" s="132"/>
      <c r="D23" s="133"/>
      <c r="E23" s="132"/>
    </row>
    <row r="24" spans="2:5">
      <c r="B24" s="133"/>
      <c r="C24" s="132"/>
      <c r="D24" s="133"/>
      <c r="E24" s="132"/>
    </row>
  </sheetData>
  <mergeCells count="3">
    <mergeCell ref="B4:C4"/>
    <mergeCell ref="D4:E4"/>
    <mergeCell ref="B2:E2"/>
  </mergeCells>
  <phoneticPr fontId="2" type="noConversion"/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197A9-0A8A-4AB4-A18F-A2F577BFA775}">
  <sheetPr codeName="Sheet28"/>
  <dimension ref="B2:E16"/>
  <sheetViews>
    <sheetView workbookViewId="0">
      <selection activeCell="B1" sqref="B1"/>
    </sheetView>
  </sheetViews>
  <sheetFormatPr defaultRowHeight="16.5"/>
  <cols>
    <col min="1" max="1" width="3.5" customWidth="1"/>
    <col min="2" max="3" width="14" customWidth="1"/>
  </cols>
  <sheetData>
    <row r="2" spans="2:5" ht="36" customHeight="1">
      <c r="B2" s="150" t="s">
        <v>474</v>
      </c>
      <c r="C2" s="150" t="s">
        <v>206</v>
      </c>
    </row>
    <row r="3" spans="2:5" ht="36" customHeight="1">
      <c r="B3" s="151" t="s">
        <v>475</v>
      </c>
      <c r="C3" s="152"/>
    </row>
    <row r="4" spans="2:5" ht="36" customHeight="1">
      <c r="B4" s="151" t="s">
        <v>476</v>
      </c>
      <c r="C4" s="152"/>
    </row>
    <row r="5" spans="2:5" ht="36" customHeight="1">
      <c r="B5" s="151" t="s">
        <v>477</v>
      </c>
      <c r="C5" s="152"/>
    </row>
    <row r="6" spans="2:5" ht="36" customHeight="1">
      <c r="B6" s="151" t="s">
        <v>478</v>
      </c>
      <c r="C6" s="152"/>
    </row>
    <row r="7" spans="2:5" ht="36" customHeight="1"/>
    <row r="8" spans="2:5" ht="36" customHeight="1">
      <c r="B8" s="263" t="s">
        <v>479</v>
      </c>
      <c r="C8" s="263"/>
      <c r="D8" s="263"/>
      <c r="E8" s="263"/>
    </row>
    <row r="9" spans="2:5" ht="36" customHeight="1">
      <c r="B9" s="221"/>
      <c r="C9" s="221"/>
      <c r="D9" s="221"/>
      <c r="E9" s="221"/>
    </row>
    <row r="10" spans="2:5" ht="36" customHeight="1"/>
    <row r="11" spans="2:5" ht="36" customHeight="1"/>
    <row r="12" spans="2:5" ht="36" customHeight="1"/>
    <row r="13" spans="2:5" ht="36" customHeight="1"/>
    <row r="14" spans="2:5" ht="36" customHeight="1"/>
    <row r="15" spans="2:5" ht="36" customHeight="1"/>
    <row r="16" spans="2:5" ht="36" customHeight="1"/>
  </sheetData>
  <mergeCells count="2">
    <mergeCell ref="B8:E8"/>
    <mergeCell ref="B9:E9"/>
  </mergeCells>
  <phoneticPr fontId="2" type="noConversion"/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AC80F-A3D6-4EB6-BA47-50210D881643}">
  <sheetPr codeName="Sheet29"/>
  <dimension ref="B2:T162"/>
  <sheetViews>
    <sheetView workbookViewId="0">
      <selection activeCell="B1" sqref="B1"/>
    </sheetView>
  </sheetViews>
  <sheetFormatPr defaultRowHeight="16.5"/>
  <cols>
    <col min="1" max="1" width="3.5" customWidth="1"/>
    <col min="2" max="2" width="9.875" bestFit="1" customWidth="1"/>
    <col min="3" max="3" width="14" customWidth="1"/>
    <col min="4" max="4" width="11.25" customWidth="1"/>
    <col min="5" max="5" width="11.125" bestFit="1" customWidth="1"/>
    <col min="6" max="6" width="12.375" bestFit="1" customWidth="1"/>
    <col min="7" max="7" width="12.375" customWidth="1"/>
    <col min="9" max="9" width="1.875" customWidth="1"/>
    <col min="11" max="11" width="13.375" customWidth="1"/>
    <col min="12" max="14" width="9.375" bestFit="1" customWidth="1"/>
    <col min="16" max="16" width="13.75" bestFit="1" customWidth="1"/>
    <col min="18" max="18" width="1.75" customWidth="1"/>
    <col min="19" max="19" width="13.75" bestFit="1" customWidth="1"/>
  </cols>
  <sheetData>
    <row r="2" spans="2:20" ht="26.25">
      <c r="B2" s="156" t="s">
        <v>480</v>
      </c>
      <c r="C2" s="156"/>
      <c r="D2" s="156"/>
      <c r="E2" s="156"/>
      <c r="F2" s="156"/>
      <c r="G2" s="156"/>
      <c r="H2" s="156"/>
      <c r="J2" s="27" t="s">
        <v>481</v>
      </c>
      <c r="P2" s="265" t="s">
        <v>482</v>
      </c>
      <c r="Q2" s="265"/>
      <c r="S2" s="265" t="s">
        <v>483</v>
      </c>
      <c r="T2" s="265"/>
    </row>
    <row r="3" spans="2:20" ht="5.25" customHeight="1"/>
    <row r="4" spans="2:20" ht="21.75" customHeight="1">
      <c r="B4" s="145" t="s">
        <v>484</v>
      </c>
      <c r="C4" s="145" t="s">
        <v>485</v>
      </c>
      <c r="D4" s="145" t="s">
        <v>486</v>
      </c>
      <c r="E4" s="145" t="s">
        <v>487</v>
      </c>
      <c r="F4" s="145" t="s">
        <v>488</v>
      </c>
      <c r="G4" s="145" t="s">
        <v>489</v>
      </c>
      <c r="H4" s="34" t="s">
        <v>490</v>
      </c>
      <c r="J4" s="266" t="s">
        <v>491</v>
      </c>
      <c r="K4" s="266"/>
      <c r="L4" s="267">
        <f>INDEX(N6:N17,COUNT(N6:N17))</f>
        <v>328000</v>
      </c>
      <c r="M4" s="268"/>
      <c r="N4" s="157"/>
      <c r="P4" s="145" t="s">
        <v>248</v>
      </c>
      <c r="Q4" s="145" t="s">
        <v>221</v>
      </c>
      <c r="S4" s="145" t="s">
        <v>248</v>
      </c>
      <c r="T4" s="145" t="s">
        <v>221</v>
      </c>
    </row>
    <row r="5" spans="2:20" ht="21.75" customHeight="1">
      <c r="B5" s="146" t="s">
        <v>492</v>
      </c>
      <c r="C5" s="146" t="s">
        <v>493</v>
      </c>
      <c r="D5" s="146" t="s">
        <v>494</v>
      </c>
      <c r="E5" s="147">
        <v>42562</v>
      </c>
      <c r="F5" s="158">
        <v>1500000</v>
      </c>
      <c r="G5" s="159">
        <v>0.15</v>
      </c>
      <c r="H5" s="65">
        <v>10</v>
      </c>
      <c r="J5" s="146" t="s">
        <v>267</v>
      </c>
      <c r="K5" s="146" t="s">
        <v>0</v>
      </c>
      <c r="L5" s="146" t="s">
        <v>495</v>
      </c>
      <c r="M5" s="146" t="s">
        <v>496</v>
      </c>
      <c r="N5" s="146" t="s">
        <v>497</v>
      </c>
      <c r="P5" s="6" t="s">
        <v>250</v>
      </c>
      <c r="Q5" s="46">
        <v>19000</v>
      </c>
      <c r="S5" s="6" t="s">
        <v>250</v>
      </c>
      <c r="T5" s="46">
        <v>23000</v>
      </c>
    </row>
    <row r="6" spans="2:20" ht="21.75" customHeight="1">
      <c r="B6" s="146" t="s">
        <v>498</v>
      </c>
      <c r="C6" s="146" t="s">
        <v>499</v>
      </c>
      <c r="D6" s="146" t="s">
        <v>500</v>
      </c>
      <c r="E6" s="147">
        <v>42739</v>
      </c>
      <c r="F6" s="158">
        <v>2850000</v>
      </c>
      <c r="G6" s="159">
        <v>0.1</v>
      </c>
      <c r="H6" s="65">
        <v>5</v>
      </c>
      <c r="J6" s="115">
        <v>43009</v>
      </c>
      <c r="K6" s="6" t="s">
        <v>501</v>
      </c>
      <c r="L6" s="46"/>
      <c r="M6" s="46"/>
      <c r="N6" s="46">
        <v>358000</v>
      </c>
      <c r="P6" s="6" t="s">
        <v>251</v>
      </c>
      <c r="Q6" s="46">
        <v>20000</v>
      </c>
      <c r="S6" s="6" t="s">
        <v>251</v>
      </c>
      <c r="T6" s="46">
        <v>25000</v>
      </c>
    </row>
    <row r="7" spans="2:20" ht="21.75" customHeight="1">
      <c r="B7" s="146" t="s">
        <v>502</v>
      </c>
      <c r="C7" s="146" t="s">
        <v>493</v>
      </c>
      <c r="D7" s="146" t="s">
        <v>503</v>
      </c>
      <c r="E7" s="147">
        <v>42575</v>
      </c>
      <c r="F7" s="158">
        <v>2600000</v>
      </c>
      <c r="G7" s="159">
        <v>0.17</v>
      </c>
      <c r="H7" s="65">
        <v>3</v>
      </c>
      <c r="J7" s="115"/>
      <c r="K7" s="6"/>
      <c r="L7" s="46">
        <v>10000</v>
      </c>
      <c r="M7" s="46"/>
      <c r="N7" s="46">
        <f>IF(AND(L7="",M7=""),"",N6+L7-M7)</f>
        <v>368000</v>
      </c>
      <c r="P7" s="6" t="s">
        <v>252</v>
      </c>
      <c r="Q7" s="46">
        <v>24000</v>
      </c>
      <c r="S7" s="6" t="s">
        <v>252</v>
      </c>
      <c r="T7" s="46">
        <v>30000</v>
      </c>
    </row>
    <row r="8" spans="2:20" ht="21.75" customHeight="1">
      <c r="B8" s="146" t="s">
        <v>504</v>
      </c>
      <c r="C8" s="146" t="s">
        <v>499</v>
      </c>
      <c r="D8" s="146" t="s">
        <v>500</v>
      </c>
      <c r="E8" s="147">
        <v>42021</v>
      </c>
      <c r="F8" s="158">
        <v>4300000</v>
      </c>
      <c r="G8" s="159">
        <v>0.05</v>
      </c>
      <c r="H8" s="65">
        <v>8</v>
      </c>
      <c r="J8" s="6"/>
      <c r="K8" s="6"/>
      <c r="L8" s="46"/>
      <c r="M8" s="46">
        <v>30000</v>
      </c>
      <c r="N8" s="46">
        <f t="shared" ref="N8:N17" si="0">IF(AND(L8="",M8=""),"",N7+L8-M8)</f>
        <v>338000</v>
      </c>
      <c r="P8" s="6" t="s">
        <v>505</v>
      </c>
      <c r="Q8" s="46">
        <v>28000</v>
      </c>
      <c r="S8" s="6" t="s">
        <v>505</v>
      </c>
      <c r="T8" s="46">
        <v>35000</v>
      </c>
    </row>
    <row r="9" spans="2:20" ht="21.75" customHeight="1">
      <c r="B9" s="146" t="s">
        <v>506</v>
      </c>
      <c r="C9" s="146" t="s">
        <v>507</v>
      </c>
      <c r="D9" s="146" t="s">
        <v>508</v>
      </c>
      <c r="E9" s="147">
        <v>42400</v>
      </c>
      <c r="F9" s="158">
        <v>3850000</v>
      </c>
      <c r="G9" s="159">
        <v>0.3</v>
      </c>
      <c r="H9" s="65">
        <v>7</v>
      </c>
      <c r="J9" s="6"/>
      <c r="K9" s="6"/>
      <c r="L9" s="46"/>
      <c r="M9" s="46">
        <v>10000</v>
      </c>
      <c r="N9" s="46">
        <f t="shared" si="0"/>
        <v>328000</v>
      </c>
      <c r="P9" s="6" t="s">
        <v>509</v>
      </c>
      <c r="Q9" s="46">
        <v>32000</v>
      </c>
      <c r="S9" s="6" t="s">
        <v>509</v>
      </c>
      <c r="T9" s="46">
        <v>40000</v>
      </c>
    </row>
    <row r="10" spans="2:20" ht="21.75" customHeight="1">
      <c r="B10" s="146" t="s">
        <v>510</v>
      </c>
      <c r="C10" s="146" t="s">
        <v>507</v>
      </c>
      <c r="D10" s="146" t="s">
        <v>508</v>
      </c>
      <c r="E10" s="147">
        <v>42801</v>
      </c>
      <c r="F10" s="158">
        <v>4880000</v>
      </c>
      <c r="G10" s="159">
        <v>0</v>
      </c>
      <c r="H10" s="65">
        <v>13</v>
      </c>
      <c r="J10" s="6"/>
      <c r="K10" s="6"/>
      <c r="L10" s="46"/>
      <c r="M10" s="46"/>
      <c r="N10" s="46" t="str">
        <f t="shared" si="0"/>
        <v/>
      </c>
      <c r="P10" s="6" t="s">
        <v>511</v>
      </c>
      <c r="Q10" s="46">
        <v>22400</v>
      </c>
      <c r="S10" s="6" t="s">
        <v>511</v>
      </c>
      <c r="T10" s="46">
        <v>28000</v>
      </c>
    </row>
    <row r="11" spans="2:20" ht="21.75" customHeight="1">
      <c r="B11" s="146" t="s">
        <v>512</v>
      </c>
      <c r="C11" s="146" t="s">
        <v>493</v>
      </c>
      <c r="D11" s="146" t="s">
        <v>503</v>
      </c>
      <c r="E11" s="147">
        <v>42378</v>
      </c>
      <c r="F11" s="158">
        <v>1980000</v>
      </c>
      <c r="G11" s="159">
        <v>0.2</v>
      </c>
      <c r="H11" s="65">
        <v>35</v>
      </c>
      <c r="J11" s="6"/>
      <c r="K11" s="6"/>
      <c r="L11" s="46"/>
      <c r="M11" s="46"/>
      <c r="N11" s="46" t="str">
        <f t="shared" si="0"/>
        <v/>
      </c>
      <c r="P11" s="6" t="s">
        <v>513</v>
      </c>
      <c r="Q11" s="46">
        <v>26400</v>
      </c>
      <c r="S11" s="6" t="s">
        <v>513</v>
      </c>
      <c r="T11" s="46">
        <v>33000</v>
      </c>
    </row>
    <row r="12" spans="2:20" ht="21.75" customHeight="1">
      <c r="B12" s="146" t="s">
        <v>514</v>
      </c>
      <c r="C12" s="146" t="s">
        <v>499</v>
      </c>
      <c r="D12" s="146" t="s">
        <v>500</v>
      </c>
      <c r="E12" s="147">
        <v>43186</v>
      </c>
      <c r="F12" s="158">
        <v>3200000</v>
      </c>
      <c r="G12" s="159">
        <v>0</v>
      </c>
      <c r="H12" s="65">
        <v>25</v>
      </c>
      <c r="J12" s="6"/>
      <c r="K12" s="6"/>
      <c r="L12" s="46"/>
      <c r="M12" s="46"/>
      <c r="N12" s="46" t="str">
        <f t="shared" si="0"/>
        <v/>
      </c>
      <c r="P12" s="6" t="s">
        <v>515</v>
      </c>
      <c r="Q12" s="46">
        <v>30400</v>
      </c>
      <c r="S12" s="6" t="s">
        <v>515</v>
      </c>
      <c r="T12" s="46">
        <v>38000</v>
      </c>
    </row>
    <row r="13" spans="2:20" ht="21.75" customHeight="1">
      <c r="J13" s="6"/>
      <c r="K13" s="6"/>
      <c r="L13" s="46"/>
      <c r="M13" s="46"/>
      <c r="N13" s="46" t="str">
        <f t="shared" si="0"/>
        <v/>
      </c>
    </row>
    <row r="14" spans="2:20" ht="21.75" customHeight="1">
      <c r="B14" s="264" t="s">
        <v>516</v>
      </c>
      <c r="C14" s="264"/>
      <c r="D14" s="264"/>
      <c r="E14" s="6" t="s">
        <v>523</v>
      </c>
      <c r="G14" s="160"/>
      <c r="J14" s="6"/>
      <c r="K14" s="6"/>
      <c r="L14" s="46"/>
      <c r="M14" s="46"/>
      <c r="N14" s="46" t="str">
        <f t="shared" si="0"/>
        <v/>
      </c>
    </row>
    <row r="15" spans="2:20" ht="21.75" customHeight="1">
      <c r="B15" s="264" t="s">
        <v>517</v>
      </c>
      <c r="C15" s="264"/>
      <c r="D15" s="264"/>
      <c r="E15" s="6" t="s">
        <v>518</v>
      </c>
      <c r="J15" s="6"/>
      <c r="K15" s="6"/>
      <c r="L15" s="46"/>
      <c r="M15" s="46"/>
      <c r="N15" s="46" t="str">
        <f t="shared" si="0"/>
        <v/>
      </c>
      <c r="P15" s="146" t="s">
        <v>519</v>
      </c>
      <c r="Q15" s="146" t="s">
        <v>125</v>
      </c>
      <c r="R15" s="146"/>
      <c r="S15" s="146" t="s">
        <v>134</v>
      </c>
      <c r="T15" s="6">
        <f>INDEX((Q5:Q12,T5:T12),MATCH(Q15&amp;" / "&amp;S15,P5:P12,0),,IF(P15="A",1,2))</f>
        <v>26400</v>
      </c>
    </row>
    <row r="16" spans="2:20" ht="21.75" customHeight="1">
      <c r="B16" s="264" t="s">
        <v>520</v>
      </c>
      <c r="C16" s="264"/>
      <c r="D16" s="264"/>
      <c r="E16" s="46">
        <v>4300000</v>
      </c>
      <c r="J16" s="6"/>
      <c r="K16" s="6"/>
      <c r="L16" s="46"/>
      <c r="M16" s="46"/>
      <c r="N16" s="46" t="str">
        <f t="shared" si="0"/>
        <v/>
      </c>
    </row>
    <row r="17" spans="2:16" ht="21.75" customHeight="1">
      <c r="B17" s="264" t="s">
        <v>521</v>
      </c>
      <c r="C17" s="264"/>
      <c r="D17" s="264"/>
      <c r="E17" s="6" t="s">
        <v>522</v>
      </c>
      <c r="J17" s="6"/>
      <c r="K17" s="6"/>
      <c r="L17" s="46"/>
      <c r="M17" s="46"/>
      <c r="N17" s="46" t="str">
        <f t="shared" si="0"/>
        <v/>
      </c>
      <c r="P17">
        <f>INDEX((P5:Q12,S5:T12),5,2,2)</f>
        <v>40000</v>
      </c>
    </row>
    <row r="18" spans="2:16" ht="21.75" customHeight="1">
      <c r="B18" s="16"/>
    </row>
    <row r="19" spans="2:16" ht="21.75" customHeight="1">
      <c r="B19" s="16"/>
    </row>
    <row r="20" spans="2:16" ht="21.75" customHeight="1"/>
    <row r="21" spans="2:16" ht="21.75" customHeight="1"/>
    <row r="22" spans="2:16" ht="21.75" customHeight="1"/>
    <row r="23" spans="2:16" ht="21.75" customHeight="1"/>
    <row r="24" spans="2:16" ht="21.75" customHeight="1"/>
    <row r="25" spans="2:16" ht="21.75" customHeight="1"/>
    <row r="26" spans="2:16" ht="21.75" customHeight="1"/>
    <row r="27" spans="2:16" ht="21.75" customHeight="1"/>
    <row r="28" spans="2:16" ht="21.75" customHeight="1"/>
    <row r="29" spans="2:16" ht="21.75" customHeight="1"/>
    <row r="30" spans="2:16" ht="21.75" customHeight="1"/>
    <row r="31" spans="2:16" ht="21.75" customHeight="1"/>
    <row r="32" spans="2:16" ht="21.75" customHeight="1"/>
    <row r="33" ht="21.75" customHeight="1"/>
    <row r="34" ht="21.75" customHeight="1"/>
    <row r="35" ht="21.75" customHeight="1"/>
    <row r="36" ht="21.75" customHeight="1"/>
    <row r="37" ht="21.75" customHeight="1"/>
    <row r="38" ht="21.75" customHeight="1"/>
    <row r="39" ht="21.75" customHeight="1"/>
    <row r="40" ht="21.75" customHeight="1"/>
    <row r="41" ht="21.75" customHeight="1"/>
    <row r="42" ht="21.75" customHeight="1"/>
    <row r="43" ht="21.75" customHeight="1"/>
    <row r="44" ht="21.75" customHeight="1"/>
    <row r="45" ht="21.75" customHeight="1"/>
    <row r="46" ht="21.75" customHeight="1"/>
    <row r="47" ht="21.75" customHeight="1"/>
    <row r="48" ht="21.75" customHeight="1"/>
    <row r="49" ht="21.75" customHeight="1"/>
    <row r="50" ht="21.75" customHeight="1"/>
    <row r="51" ht="21.75" customHeight="1"/>
    <row r="52" ht="21.75" customHeight="1"/>
    <row r="53" ht="21.75" customHeight="1"/>
    <row r="54" ht="21.75" customHeight="1"/>
    <row r="55" ht="21.75" customHeight="1"/>
    <row r="56" ht="21.75" customHeight="1"/>
    <row r="57" ht="21.75" customHeight="1"/>
    <row r="58" ht="21.75" customHeight="1"/>
    <row r="59" ht="21.75" customHeight="1"/>
    <row r="60" ht="21.75" customHeight="1"/>
    <row r="61" ht="21.75" customHeight="1"/>
    <row r="62" ht="21.75" customHeight="1"/>
    <row r="63" ht="21.75" customHeight="1"/>
    <row r="64" ht="21.75" customHeight="1"/>
    <row r="65" ht="21.75" customHeight="1"/>
    <row r="66" ht="21.75" customHeight="1"/>
    <row r="67" ht="21.75" customHeight="1"/>
    <row r="68" ht="21.75" customHeight="1"/>
    <row r="69" ht="21.75" customHeight="1"/>
    <row r="70" ht="21.75" customHeight="1"/>
    <row r="71" ht="21.75" customHeight="1"/>
    <row r="72" ht="21.75" customHeight="1"/>
    <row r="73" ht="21.75" customHeight="1"/>
    <row r="74" ht="21.75" customHeight="1"/>
    <row r="75" ht="21.75" customHeight="1"/>
    <row r="76" ht="21.75" customHeight="1"/>
    <row r="77" ht="21.75" customHeight="1"/>
    <row r="78" ht="21.75" customHeight="1"/>
    <row r="79" ht="21.75" customHeight="1"/>
    <row r="80" ht="21.75" customHeight="1"/>
    <row r="81" ht="21.75" customHeight="1"/>
    <row r="82" ht="21.75" customHeight="1"/>
    <row r="83" ht="21.75" customHeight="1"/>
    <row r="84" ht="21.75" customHeight="1"/>
    <row r="85" ht="21.75" customHeight="1"/>
    <row r="86" ht="21.75" customHeight="1"/>
    <row r="87" ht="21.75" customHeight="1"/>
    <row r="88" ht="21.75" customHeight="1"/>
    <row r="89" ht="21.75" customHeight="1"/>
    <row r="90" ht="21.75" customHeight="1"/>
    <row r="91" ht="21.75" customHeight="1"/>
    <row r="92" ht="21.75" customHeight="1"/>
    <row r="93" ht="21.75" customHeight="1"/>
    <row r="94" ht="21.75" customHeight="1"/>
    <row r="95" ht="21.75" customHeight="1"/>
    <row r="96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</sheetData>
  <mergeCells count="8">
    <mergeCell ref="B16:D16"/>
    <mergeCell ref="B17:D17"/>
    <mergeCell ref="P2:Q2"/>
    <mergeCell ref="S2:T2"/>
    <mergeCell ref="J4:K4"/>
    <mergeCell ref="L4:M4"/>
    <mergeCell ref="B14:D14"/>
    <mergeCell ref="B15:D15"/>
  </mergeCells>
  <phoneticPr fontId="2" type="noConversion"/>
  <dataValidations count="3">
    <dataValidation type="list" allowBlank="1" showInputMessage="1" showErrorMessage="1" sqref="S15" xr:uid="{5839D2A6-7421-48C5-85AF-38F09EBA6E58}">
      <formula1>"10K,20K,30K,40K"</formula1>
    </dataValidation>
    <dataValidation type="list" allowBlank="1" showInputMessage="1" showErrorMessage="1" sqref="Q15" xr:uid="{B45AA4ED-2D3F-47D5-97B8-4F013BDB0738}">
      <formula1>"AM-100,AM-200"</formula1>
    </dataValidation>
    <dataValidation type="list" allowBlank="1" showInputMessage="1" showErrorMessage="1" sqref="P15" xr:uid="{088589E2-BE4F-448E-9919-F406C524999E}">
      <formula1>"A,B"</formula1>
    </dataValidation>
  </dataValidations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32F7C2-8E1D-44E1-A6A3-93E004035A7C}">
  <sheetPr codeName="Sheet30"/>
  <dimension ref="B2:Q17"/>
  <sheetViews>
    <sheetView workbookViewId="0">
      <selection activeCell="B1" sqref="B1"/>
    </sheetView>
  </sheetViews>
  <sheetFormatPr defaultRowHeight="16.5"/>
  <cols>
    <col min="1" max="1" width="3.5" customWidth="1"/>
    <col min="2" max="2" width="8.125" bestFit="1" customWidth="1"/>
    <col min="3" max="3" width="11" bestFit="1" customWidth="1"/>
    <col min="5" max="5" width="11.125" bestFit="1" customWidth="1"/>
    <col min="6" max="6" width="12.375" bestFit="1" customWidth="1"/>
    <col min="7" max="8" width="7.125" bestFit="1" customWidth="1"/>
    <col min="9" max="9" width="5.625" customWidth="1"/>
    <col min="11" max="11" width="1.375" customWidth="1"/>
    <col min="13" max="13" width="1.25" customWidth="1"/>
  </cols>
  <sheetData>
    <row r="2" spans="2:17" ht="20.25">
      <c r="B2" s="27" t="s">
        <v>524</v>
      </c>
      <c r="J2" s="27" t="s">
        <v>525</v>
      </c>
    </row>
    <row r="3" spans="2:17" ht="6" customHeight="1"/>
    <row r="4" spans="2:17">
      <c r="B4" s="153" t="s">
        <v>484</v>
      </c>
      <c r="C4" s="153" t="s">
        <v>485</v>
      </c>
      <c r="D4" s="153" t="s">
        <v>486</v>
      </c>
      <c r="E4" s="153" t="s">
        <v>487</v>
      </c>
      <c r="F4" s="153" t="s">
        <v>488</v>
      </c>
      <c r="G4" s="153" t="s">
        <v>489</v>
      </c>
      <c r="H4" s="34" t="s">
        <v>490</v>
      </c>
      <c r="J4" s="153" t="s">
        <v>25</v>
      </c>
      <c r="L4" s="153" t="s">
        <v>25</v>
      </c>
      <c r="N4" s="153" t="s">
        <v>25</v>
      </c>
    </row>
    <row r="5" spans="2:17">
      <c r="B5" s="155" t="s">
        <v>492</v>
      </c>
      <c r="C5" s="155" t="s">
        <v>493</v>
      </c>
      <c r="D5" s="155" t="s">
        <v>494</v>
      </c>
      <c r="E5" s="166">
        <v>42562</v>
      </c>
      <c r="F5" s="167">
        <v>1500000</v>
      </c>
      <c r="G5" s="168">
        <v>0.15</v>
      </c>
      <c r="H5" s="169">
        <v>10</v>
      </c>
      <c r="J5" s="6">
        <v>62</v>
      </c>
      <c r="L5" s="6">
        <v>93</v>
      </c>
      <c r="N5" s="6">
        <v>82</v>
      </c>
      <c r="Q5">
        <v>70</v>
      </c>
    </row>
    <row r="6" spans="2:17">
      <c r="B6" s="155" t="s">
        <v>498</v>
      </c>
      <c r="C6" s="155" t="s">
        <v>499</v>
      </c>
      <c r="D6" s="155" t="s">
        <v>500</v>
      </c>
      <c r="E6" s="166">
        <v>42739</v>
      </c>
      <c r="F6" s="167">
        <v>2850000</v>
      </c>
      <c r="G6" s="168">
        <v>0.1</v>
      </c>
      <c r="H6" s="169">
        <v>5</v>
      </c>
      <c r="J6" s="6">
        <v>64</v>
      </c>
      <c r="L6" s="6">
        <v>85</v>
      </c>
      <c r="N6" s="6">
        <v>64</v>
      </c>
      <c r="P6" t="s">
        <v>526</v>
      </c>
    </row>
    <row r="7" spans="2:17">
      <c r="B7" s="155" t="s">
        <v>502</v>
      </c>
      <c r="C7" s="155" t="s">
        <v>493</v>
      </c>
      <c r="D7" s="155" t="s">
        <v>503</v>
      </c>
      <c r="E7" s="166">
        <v>42575</v>
      </c>
      <c r="F7" s="167">
        <v>2600000</v>
      </c>
      <c r="G7" s="168">
        <v>0.17</v>
      </c>
      <c r="H7" s="169">
        <v>3</v>
      </c>
      <c r="J7" s="6">
        <v>72</v>
      </c>
      <c r="L7" s="6">
        <v>82</v>
      </c>
      <c r="N7" s="6">
        <v>93</v>
      </c>
      <c r="P7" t="s">
        <v>527</v>
      </c>
    </row>
    <row r="8" spans="2:17">
      <c r="B8" s="155" t="s">
        <v>504</v>
      </c>
      <c r="C8" s="155" t="s">
        <v>499</v>
      </c>
      <c r="D8" s="155" t="s">
        <v>500</v>
      </c>
      <c r="E8" s="166">
        <v>42021</v>
      </c>
      <c r="F8" s="167">
        <v>4300000</v>
      </c>
      <c r="G8" s="168">
        <v>0.05</v>
      </c>
      <c r="H8" s="169">
        <v>8</v>
      </c>
      <c r="J8" s="6">
        <v>75</v>
      </c>
      <c r="L8" s="6">
        <v>78</v>
      </c>
      <c r="N8" s="6">
        <v>75</v>
      </c>
      <c r="P8" t="s">
        <v>528</v>
      </c>
    </row>
    <row r="9" spans="2:17">
      <c r="B9" s="155" t="s">
        <v>506</v>
      </c>
      <c r="C9" s="155" t="s">
        <v>507</v>
      </c>
      <c r="D9" s="155" t="s">
        <v>508</v>
      </c>
      <c r="E9" s="166">
        <v>42400</v>
      </c>
      <c r="F9" s="167">
        <v>3850000</v>
      </c>
      <c r="G9" s="168">
        <v>0.3</v>
      </c>
      <c r="H9" s="169">
        <v>7</v>
      </c>
      <c r="J9" s="6">
        <v>78</v>
      </c>
      <c r="L9" s="6">
        <v>75</v>
      </c>
      <c r="N9" s="6">
        <v>78</v>
      </c>
    </row>
    <row r="10" spans="2:17">
      <c r="B10" s="155" t="s">
        <v>510</v>
      </c>
      <c r="C10" s="155" t="s">
        <v>507</v>
      </c>
      <c r="D10" s="155" t="s">
        <v>508</v>
      </c>
      <c r="E10" s="166">
        <v>42801</v>
      </c>
      <c r="F10" s="167">
        <v>4880000</v>
      </c>
      <c r="G10" s="168">
        <v>0</v>
      </c>
      <c r="H10" s="169">
        <v>13</v>
      </c>
      <c r="J10" s="6">
        <v>82</v>
      </c>
      <c r="L10" s="6">
        <v>72</v>
      </c>
      <c r="N10" s="6">
        <v>85</v>
      </c>
    </row>
    <row r="11" spans="2:17">
      <c r="B11" s="155" t="s">
        <v>512</v>
      </c>
      <c r="C11" s="155" t="s">
        <v>493</v>
      </c>
      <c r="D11" s="155" t="s">
        <v>503</v>
      </c>
      <c r="E11" s="166">
        <v>42378</v>
      </c>
      <c r="F11" s="167">
        <v>1980000</v>
      </c>
      <c r="G11" s="168">
        <v>0.2</v>
      </c>
      <c r="H11" s="169">
        <v>18</v>
      </c>
      <c r="J11" s="6">
        <v>85</v>
      </c>
      <c r="L11" s="6">
        <v>64</v>
      </c>
      <c r="N11" s="6">
        <v>72</v>
      </c>
    </row>
    <row r="12" spans="2:17">
      <c r="B12" s="155" t="s">
        <v>514</v>
      </c>
      <c r="C12" s="155" t="s">
        <v>499</v>
      </c>
      <c r="D12" s="155" t="s">
        <v>500</v>
      </c>
      <c r="E12" s="166">
        <v>43186</v>
      </c>
      <c r="F12" s="167">
        <v>3200000</v>
      </c>
      <c r="G12" s="168">
        <v>0</v>
      </c>
      <c r="H12" s="169">
        <v>25</v>
      </c>
      <c r="J12" s="6">
        <v>93</v>
      </c>
      <c r="L12" s="6">
        <v>62</v>
      </c>
      <c r="N12" s="6">
        <v>62</v>
      </c>
    </row>
    <row r="13" spans="2:17" ht="8.25" customHeight="1"/>
    <row r="14" spans="2:17">
      <c r="B14" s="153" t="s">
        <v>484</v>
      </c>
      <c r="C14" s="154" t="s">
        <v>532</v>
      </c>
      <c r="D14" s="164"/>
      <c r="J14" t="s">
        <v>529</v>
      </c>
      <c r="L14" t="s">
        <v>530</v>
      </c>
      <c r="N14" t="s">
        <v>531</v>
      </c>
    </row>
    <row r="15" spans="2:17">
      <c r="B15" s="153" t="s">
        <v>489</v>
      </c>
      <c r="C15" s="116">
        <f>INDEX($B$5:$H$12,MATCH($C$14,$B$5:$B$12,0),MATCH(B15,$B$4:$H$4,0))</f>
        <v>0.2</v>
      </c>
    </row>
    <row r="16" spans="2:17">
      <c r="B16" s="153" t="s">
        <v>488</v>
      </c>
      <c r="C16" s="165">
        <f t="shared" ref="C16:C17" si="0">INDEX($B$5:$H$12,MATCH($C$14,$B$5:$B$12,0),MATCH(B16,$B$4:$H$4,0))</f>
        <v>1980000</v>
      </c>
    </row>
    <row r="17" spans="2:3">
      <c r="B17" s="153" t="s">
        <v>485</v>
      </c>
      <c r="C17" s="165" t="str">
        <f t="shared" si="0"/>
        <v>스쿠터</v>
      </c>
    </row>
  </sheetData>
  <phoneticPr fontId="2" type="noConversion"/>
  <dataValidations count="1">
    <dataValidation type="list" allowBlank="1" showInputMessage="1" showErrorMessage="1" sqref="C14" xr:uid="{17ACAF51-94EF-47B8-9DE2-9223C8457F91}">
      <formula1>$B$5:$B$12</formula1>
    </dataValidation>
  </dataValidations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5B6F25-513E-4409-924B-B595A19C9407}">
  <sheetPr codeName="Sheet31"/>
  <dimension ref="B2:M22"/>
  <sheetViews>
    <sheetView workbookViewId="0">
      <selection activeCell="B1" sqref="B1"/>
    </sheetView>
  </sheetViews>
  <sheetFormatPr defaultRowHeight="16.5"/>
  <cols>
    <col min="1" max="1" width="3.625" customWidth="1"/>
    <col min="2" max="2" width="9" style="163" bestFit="1" customWidth="1"/>
    <col min="6" max="6" width="1.125" customWidth="1"/>
    <col min="7" max="7" width="11.125" bestFit="1" customWidth="1"/>
    <col min="9" max="9" width="9.75" bestFit="1" customWidth="1"/>
    <col min="11" max="11" width="11.875" bestFit="1" customWidth="1"/>
    <col min="13" max="13" width="40.5" customWidth="1"/>
  </cols>
  <sheetData>
    <row r="2" spans="2:13" ht="26.25" customHeight="1">
      <c r="C2" s="262" t="s">
        <v>533</v>
      </c>
      <c r="D2" s="262"/>
      <c r="E2" s="262"/>
      <c r="G2" s="262" t="s">
        <v>534</v>
      </c>
      <c r="H2" s="262"/>
      <c r="I2" s="262"/>
      <c r="J2" s="262"/>
      <c r="K2" s="262"/>
    </row>
    <row r="3" spans="2:13" ht="7.5" customHeight="1"/>
    <row r="4" spans="2:13">
      <c r="B4" s="161" t="s">
        <v>535</v>
      </c>
      <c r="C4" s="173" t="s">
        <v>260</v>
      </c>
      <c r="D4" s="173" t="s">
        <v>536</v>
      </c>
      <c r="E4" s="173" t="s">
        <v>220</v>
      </c>
      <c r="G4" s="161" t="s">
        <v>537</v>
      </c>
      <c r="H4" s="161" t="s">
        <v>260</v>
      </c>
      <c r="I4" s="161" t="s">
        <v>538</v>
      </c>
      <c r="J4" s="161" t="s">
        <v>220</v>
      </c>
      <c r="K4" s="161" t="s">
        <v>263</v>
      </c>
      <c r="M4" s="161" t="s">
        <v>539</v>
      </c>
    </row>
    <row r="5" spans="2:13">
      <c r="B5" s="162" t="s">
        <v>540</v>
      </c>
      <c r="C5" s="65" t="s">
        <v>541</v>
      </c>
      <c r="D5" s="65">
        <v>5</v>
      </c>
      <c r="E5" s="65">
        <v>3000</v>
      </c>
      <c r="G5" s="174">
        <v>0.4236111111111111</v>
      </c>
      <c r="H5" s="162" t="s">
        <v>542</v>
      </c>
      <c r="I5" s="162">
        <v>1</v>
      </c>
      <c r="J5" s="65"/>
      <c r="K5" s="65"/>
      <c r="M5" s="221" t="s">
        <v>543</v>
      </c>
    </row>
    <row r="6" spans="2:13">
      <c r="B6" s="162" t="s">
        <v>544</v>
      </c>
      <c r="C6" s="65" t="s">
        <v>545</v>
      </c>
      <c r="D6" s="65">
        <v>6</v>
      </c>
      <c r="E6" s="65">
        <v>5000</v>
      </c>
      <c r="G6" s="174">
        <v>0.46527777777777801</v>
      </c>
      <c r="H6" s="162" t="s">
        <v>546</v>
      </c>
      <c r="I6" s="162">
        <v>5</v>
      </c>
      <c r="J6" s="65"/>
      <c r="K6" s="65"/>
      <c r="M6" s="221"/>
    </row>
    <row r="7" spans="2:13">
      <c r="B7" s="162" t="s">
        <v>547</v>
      </c>
      <c r="C7" s="65" t="s">
        <v>546</v>
      </c>
      <c r="D7" s="65">
        <v>8</v>
      </c>
      <c r="E7" s="65">
        <v>8000</v>
      </c>
      <c r="G7" s="174">
        <v>0.50694444444444398</v>
      </c>
      <c r="H7" s="162" t="s">
        <v>548</v>
      </c>
      <c r="I7" s="162">
        <v>3</v>
      </c>
      <c r="J7" s="65"/>
      <c r="K7" s="65"/>
      <c r="M7" s="221" t="s">
        <v>549</v>
      </c>
    </row>
    <row r="8" spans="2:13">
      <c r="B8" s="162" t="s">
        <v>550</v>
      </c>
      <c r="C8" s="65" t="s">
        <v>548</v>
      </c>
      <c r="D8" s="65">
        <v>10</v>
      </c>
      <c r="E8" s="65">
        <v>10000</v>
      </c>
      <c r="G8" s="174">
        <v>0.54861111111111105</v>
      </c>
      <c r="H8" s="162" t="s">
        <v>541</v>
      </c>
      <c r="I8" s="162">
        <v>7</v>
      </c>
      <c r="J8" s="65"/>
      <c r="K8" s="65"/>
      <c r="M8" s="221"/>
    </row>
    <row r="9" spans="2:13">
      <c r="B9" s="162" t="s">
        <v>551</v>
      </c>
      <c r="C9" s="65" t="s">
        <v>552</v>
      </c>
      <c r="D9" s="65">
        <v>7</v>
      </c>
      <c r="E9" s="65">
        <v>7000</v>
      </c>
      <c r="G9" s="174">
        <v>0.59027777777777801</v>
      </c>
      <c r="H9" s="162" t="s">
        <v>545</v>
      </c>
      <c r="I9" s="162">
        <v>2</v>
      </c>
      <c r="J9" s="65"/>
      <c r="K9" s="65"/>
    </row>
    <row r="10" spans="2:13">
      <c r="B10" s="162" t="s">
        <v>553</v>
      </c>
      <c r="C10" s="65" t="s">
        <v>554</v>
      </c>
      <c r="D10" s="65">
        <v>4</v>
      </c>
      <c r="E10" s="65">
        <v>4000</v>
      </c>
      <c r="G10" s="174">
        <v>0.63194444444444398</v>
      </c>
      <c r="H10" s="162" t="s">
        <v>541</v>
      </c>
      <c r="I10" s="162">
        <v>3</v>
      </c>
      <c r="J10" s="65"/>
      <c r="K10" s="65"/>
    </row>
    <row r="11" spans="2:13">
      <c r="B11" s="162" t="s">
        <v>555</v>
      </c>
      <c r="C11" s="65" t="s">
        <v>556</v>
      </c>
      <c r="D11" s="65">
        <v>6</v>
      </c>
      <c r="E11" s="65">
        <v>6000</v>
      </c>
      <c r="G11" s="174">
        <v>0.67361111111111105</v>
      </c>
      <c r="H11" s="162" t="s">
        <v>542</v>
      </c>
      <c r="I11" s="162">
        <v>3</v>
      </c>
      <c r="J11" s="65"/>
      <c r="K11" s="65"/>
    </row>
    <row r="12" spans="2:13">
      <c r="B12" s="162" t="s">
        <v>557</v>
      </c>
      <c r="C12" s="65" t="s">
        <v>558</v>
      </c>
      <c r="D12" s="65">
        <v>7</v>
      </c>
      <c r="E12" s="65">
        <v>12000</v>
      </c>
      <c r="G12" s="174">
        <v>0.71527777777777801</v>
      </c>
      <c r="H12" s="162" t="s">
        <v>548</v>
      </c>
      <c r="I12" s="162">
        <v>4</v>
      </c>
      <c r="J12" s="65"/>
      <c r="K12" s="65"/>
    </row>
    <row r="13" spans="2:13">
      <c r="G13" s="174">
        <v>0.71527777777777801</v>
      </c>
      <c r="H13" s="162" t="s">
        <v>552</v>
      </c>
      <c r="I13" s="162">
        <v>6</v>
      </c>
      <c r="J13" s="65"/>
      <c r="K13" s="65"/>
    </row>
    <row r="14" spans="2:13">
      <c r="B14" s="161" t="s">
        <v>535</v>
      </c>
      <c r="C14" s="173" t="s">
        <v>260</v>
      </c>
      <c r="D14" s="173" t="s">
        <v>536</v>
      </c>
      <c r="E14" s="173" t="s">
        <v>220</v>
      </c>
      <c r="G14" s="174">
        <v>0.71527777777777801</v>
      </c>
      <c r="H14" s="162" t="s">
        <v>554</v>
      </c>
      <c r="I14" s="162">
        <v>7</v>
      </c>
      <c r="J14" s="65"/>
      <c r="K14" s="65"/>
    </row>
    <row r="15" spans="2:13">
      <c r="B15" s="162" t="s">
        <v>544</v>
      </c>
      <c r="C15" s="65" t="s">
        <v>545</v>
      </c>
      <c r="D15" s="65">
        <v>6</v>
      </c>
      <c r="E15" s="65">
        <v>5000</v>
      </c>
      <c r="G15" s="174">
        <v>0.75694444444444497</v>
      </c>
      <c r="H15" s="162" t="s">
        <v>556</v>
      </c>
      <c r="I15" s="162">
        <v>10</v>
      </c>
      <c r="J15" s="65"/>
      <c r="K15" s="65"/>
    </row>
    <row r="16" spans="2:13">
      <c r="B16" s="162" t="s">
        <v>540</v>
      </c>
      <c r="C16" s="65" t="s">
        <v>541</v>
      </c>
      <c r="D16" s="65">
        <v>5</v>
      </c>
      <c r="E16" s="65">
        <v>3000</v>
      </c>
      <c r="G16" s="174">
        <v>0.79861111111111105</v>
      </c>
      <c r="H16" s="162" t="s">
        <v>554</v>
      </c>
      <c r="I16" s="162">
        <v>2</v>
      </c>
      <c r="J16" s="65"/>
      <c r="K16" s="65"/>
    </row>
    <row r="17" spans="2:11">
      <c r="B17" s="162" t="s">
        <v>555</v>
      </c>
      <c r="C17" s="65" t="s">
        <v>556</v>
      </c>
      <c r="D17" s="65">
        <v>6</v>
      </c>
      <c r="E17" s="65">
        <v>6000</v>
      </c>
      <c r="G17" s="174">
        <v>0.79861111111111105</v>
      </c>
      <c r="H17" s="162" t="s">
        <v>556</v>
      </c>
      <c r="I17" s="162">
        <v>1</v>
      </c>
      <c r="J17" s="65"/>
      <c r="K17" s="65"/>
    </row>
    <row r="18" spans="2:11">
      <c r="B18" s="162" t="s">
        <v>551</v>
      </c>
      <c r="C18" s="65" t="s">
        <v>552</v>
      </c>
      <c r="D18" s="65">
        <v>7</v>
      </c>
      <c r="E18" s="65">
        <v>7000</v>
      </c>
      <c r="G18" s="174">
        <v>0.79861111111111105</v>
      </c>
      <c r="H18" s="162" t="s">
        <v>558</v>
      </c>
      <c r="I18" s="162">
        <v>1</v>
      </c>
      <c r="J18" s="65"/>
      <c r="K18" s="65"/>
    </row>
    <row r="19" spans="2:11">
      <c r="B19" s="162" t="s">
        <v>553</v>
      </c>
      <c r="C19" s="65" t="s">
        <v>554</v>
      </c>
      <c r="D19" s="65">
        <v>4</v>
      </c>
      <c r="E19" s="65">
        <v>4000</v>
      </c>
      <c r="G19" s="174">
        <v>0.84027777777777801</v>
      </c>
      <c r="H19" s="162" t="s">
        <v>541</v>
      </c>
      <c r="I19" s="162">
        <v>3</v>
      </c>
      <c r="J19" s="65"/>
      <c r="K19" s="65"/>
    </row>
    <row r="20" spans="2:11">
      <c r="B20" s="162" t="s">
        <v>550</v>
      </c>
      <c r="C20" s="65" t="s">
        <v>548</v>
      </c>
      <c r="D20" s="65">
        <v>10</v>
      </c>
      <c r="E20" s="65">
        <v>10000</v>
      </c>
      <c r="G20" s="174">
        <v>0.88194444444444398</v>
      </c>
      <c r="H20" s="162" t="s">
        <v>548</v>
      </c>
      <c r="I20" s="162">
        <v>5</v>
      </c>
      <c r="J20" s="65"/>
      <c r="K20" s="65"/>
    </row>
    <row r="21" spans="2:11">
      <c r="B21" s="162" t="s">
        <v>547</v>
      </c>
      <c r="C21" s="65" t="s">
        <v>546</v>
      </c>
      <c r="D21" s="65">
        <v>8</v>
      </c>
      <c r="E21" s="65">
        <v>8000</v>
      </c>
      <c r="G21" s="174">
        <v>0.92361111111111105</v>
      </c>
      <c r="H21" s="162" t="s">
        <v>558</v>
      </c>
      <c r="I21" s="162">
        <v>2</v>
      </c>
      <c r="J21" s="65"/>
      <c r="K21" s="65"/>
    </row>
    <row r="22" spans="2:11">
      <c r="B22" s="162" t="s">
        <v>557</v>
      </c>
      <c r="C22" s="65" t="s">
        <v>558</v>
      </c>
      <c r="D22" s="65">
        <v>7</v>
      </c>
      <c r="E22" s="65">
        <v>12000</v>
      </c>
      <c r="G22" s="269" t="s">
        <v>559</v>
      </c>
      <c r="H22" s="270"/>
      <c r="I22" s="270"/>
      <c r="J22" s="271"/>
      <c r="K22" s="173"/>
    </row>
  </sheetData>
  <mergeCells count="5">
    <mergeCell ref="C2:E2"/>
    <mergeCell ref="G2:K2"/>
    <mergeCell ref="M5:M6"/>
    <mergeCell ref="M7:M8"/>
    <mergeCell ref="G22:J22"/>
  </mergeCells>
  <phoneticPr fontId="2" type="noConversion"/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B78BE-3ABE-447D-8AF0-AB021AB93463}">
  <sheetPr codeName="Sheet32"/>
  <dimension ref="B2:O78"/>
  <sheetViews>
    <sheetView workbookViewId="0">
      <selection activeCell="B1" sqref="B1"/>
    </sheetView>
  </sheetViews>
  <sheetFormatPr defaultRowHeight="16.5"/>
  <cols>
    <col min="1" max="1" width="3.625" customWidth="1"/>
    <col min="2" max="2" width="14.125" bestFit="1" customWidth="1"/>
    <col min="3" max="3" width="6.5" customWidth="1"/>
    <col min="4" max="4" width="2.625" customWidth="1"/>
    <col min="6" max="6" width="5.875" customWidth="1"/>
    <col min="8" max="8" width="3" customWidth="1"/>
    <col min="11" max="11" width="12.375" bestFit="1" customWidth="1"/>
  </cols>
  <sheetData>
    <row r="2" spans="2:15" ht="36">
      <c r="B2" s="170" t="s">
        <v>147</v>
      </c>
      <c r="C2" s="170" t="s">
        <v>146</v>
      </c>
      <c r="E2" s="170" t="s">
        <v>25</v>
      </c>
      <c r="F2" s="170" t="s">
        <v>634</v>
      </c>
      <c r="G2" s="179" t="s">
        <v>560</v>
      </c>
      <c r="I2" s="170" t="s">
        <v>561</v>
      </c>
      <c r="J2" s="34" t="s">
        <v>562</v>
      </c>
      <c r="K2" s="34" t="s">
        <v>563</v>
      </c>
      <c r="L2" s="34" t="s">
        <v>231</v>
      </c>
    </row>
    <row r="3" spans="2:15">
      <c r="B3" s="171" t="s">
        <v>152</v>
      </c>
      <c r="C3" s="6"/>
      <c r="E3" s="172">
        <v>90</v>
      </c>
      <c r="F3" s="172"/>
      <c r="G3" s="6"/>
      <c r="I3" s="172">
        <v>4000</v>
      </c>
      <c r="J3" s="172">
        <v>120</v>
      </c>
      <c r="K3" s="172"/>
      <c r="L3" s="6"/>
      <c r="N3">
        <v>10</v>
      </c>
      <c r="O3">
        <v>1</v>
      </c>
    </row>
    <row r="4" spans="2:15">
      <c r="B4" s="171" t="s">
        <v>157</v>
      </c>
      <c r="C4" s="6"/>
      <c r="E4" s="172">
        <v>80</v>
      </c>
      <c r="F4" s="172"/>
      <c r="G4" s="6"/>
      <c r="I4" s="172">
        <v>1000</v>
      </c>
      <c r="J4" s="172">
        <v>230</v>
      </c>
      <c r="K4" s="172"/>
      <c r="L4" s="6"/>
      <c r="N4">
        <v>3</v>
      </c>
      <c r="O4">
        <v>2</v>
      </c>
    </row>
    <row r="5" spans="2:15">
      <c r="B5" s="171" t="s">
        <v>621</v>
      </c>
      <c r="C5" s="6"/>
      <c r="E5" s="172">
        <v>95</v>
      </c>
      <c r="F5" s="172"/>
      <c r="G5" s="6"/>
      <c r="I5" s="172">
        <v>2000</v>
      </c>
      <c r="J5" s="172">
        <v>450</v>
      </c>
      <c r="K5" s="172"/>
      <c r="L5" s="6"/>
      <c r="O5">
        <v>3</v>
      </c>
    </row>
    <row r="6" spans="2:15">
      <c r="B6" s="171" t="s">
        <v>163</v>
      </c>
      <c r="C6" s="6"/>
      <c r="E6" s="172">
        <v>85</v>
      </c>
      <c r="F6" s="172"/>
      <c r="G6" s="6"/>
      <c r="I6" s="172">
        <v>3000</v>
      </c>
      <c r="J6" s="172">
        <v>80</v>
      </c>
      <c r="K6" s="172"/>
      <c r="L6" s="6"/>
      <c r="O6">
        <v>4</v>
      </c>
    </row>
    <row r="7" spans="2:15">
      <c r="B7" s="171" t="s">
        <v>623</v>
      </c>
      <c r="C7" s="6"/>
      <c r="E7" s="172">
        <v>78</v>
      </c>
      <c r="F7" s="172"/>
      <c r="G7" s="6"/>
      <c r="I7" s="172">
        <v>5000</v>
      </c>
      <c r="J7" s="172">
        <v>280</v>
      </c>
      <c r="K7" s="172"/>
      <c r="L7" s="6"/>
      <c r="O7">
        <v>5</v>
      </c>
    </row>
    <row r="8" spans="2:15">
      <c r="B8" s="171" t="s">
        <v>622</v>
      </c>
      <c r="C8" s="6"/>
      <c r="E8" s="172">
        <v>70</v>
      </c>
      <c r="F8" s="172"/>
      <c r="G8" s="6"/>
      <c r="I8" s="172">
        <v>2000</v>
      </c>
      <c r="J8" s="172">
        <v>150</v>
      </c>
      <c r="K8" s="172"/>
      <c r="L8" s="6"/>
      <c r="O8">
        <v>6</v>
      </c>
    </row>
    <row r="9" spans="2:15">
      <c r="B9" s="171" t="s">
        <v>173</v>
      </c>
      <c r="C9" s="6"/>
      <c r="E9" s="172">
        <v>93</v>
      </c>
      <c r="F9" s="172"/>
      <c r="G9" s="6"/>
      <c r="I9" s="172">
        <v>3000</v>
      </c>
      <c r="J9" s="172">
        <v>180</v>
      </c>
      <c r="K9" s="172"/>
      <c r="L9" s="6"/>
      <c r="O9">
        <v>7</v>
      </c>
    </row>
    <row r="10" spans="2:15">
      <c r="B10" s="171" t="s">
        <v>176</v>
      </c>
      <c r="C10" s="6"/>
      <c r="E10" s="172">
        <v>82</v>
      </c>
      <c r="F10" s="172"/>
      <c r="G10" s="6"/>
      <c r="I10" s="172">
        <v>4000</v>
      </c>
      <c r="J10" s="172">
        <v>250</v>
      </c>
      <c r="K10" s="172"/>
      <c r="L10" s="6"/>
      <c r="O10">
        <v>8</v>
      </c>
    </row>
    <row r="11" spans="2:15">
      <c r="B11" s="171" t="s">
        <v>180</v>
      </c>
      <c r="C11" s="6"/>
      <c r="E11" s="172">
        <v>100</v>
      </c>
      <c r="F11" s="172"/>
      <c r="G11" s="6"/>
      <c r="I11" s="172">
        <v>1000</v>
      </c>
      <c r="J11" s="172">
        <v>260</v>
      </c>
      <c r="K11" s="172"/>
      <c r="L11" s="6"/>
      <c r="O11">
        <v>9</v>
      </c>
    </row>
    <row r="12" spans="2:15">
      <c r="B12" s="171" t="s">
        <v>624</v>
      </c>
      <c r="C12" s="6"/>
      <c r="E12" s="172">
        <v>87</v>
      </c>
      <c r="F12" s="172"/>
      <c r="G12" s="6"/>
      <c r="I12" s="172">
        <v>2000</v>
      </c>
      <c r="J12" s="172">
        <v>210</v>
      </c>
      <c r="K12" s="172"/>
      <c r="L12" s="6"/>
      <c r="O12">
        <v>10</v>
      </c>
    </row>
    <row r="13" spans="2:15">
      <c r="B13" s="171" t="s">
        <v>564</v>
      </c>
      <c r="C13" s="6"/>
      <c r="E13" s="172">
        <v>86</v>
      </c>
      <c r="F13" s="172"/>
      <c r="G13" s="6"/>
      <c r="I13" s="172">
        <v>4000</v>
      </c>
      <c r="J13" s="172">
        <v>110</v>
      </c>
      <c r="K13" s="172"/>
      <c r="L13" s="6"/>
      <c r="O13">
        <v>11</v>
      </c>
    </row>
    <row r="14" spans="2:15">
      <c r="B14" s="171" t="s">
        <v>565</v>
      </c>
      <c r="C14" s="6"/>
      <c r="E14" s="172">
        <v>94</v>
      </c>
      <c r="F14" s="172"/>
      <c r="G14" s="6"/>
      <c r="I14" s="172">
        <v>5000</v>
      </c>
      <c r="J14" s="172">
        <v>170</v>
      </c>
      <c r="K14" s="172"/>
      <c r="L14" s="6"/>
      <c r="O14">
        <v>12</v>
      </c>
    </row>
    <row r="15" spans="2:15">
      <c r="B15" s="171" t="s">
        <v>625</v>
      </c>
      <c r="C15" s="6"/>
      <c r="E15" s="172">
        <v>89</v>
      </c>
      <c r="F15" s="172"/>
      <c r="G15" s="6"/>
      <c r="I15" s="172">
        <v>3000</v>
      </c>
      <c r="J15" s="172">
        <v>160</v>
      </c>
      <c r="K15" s="172"/>
      <c r="L15" s="6"/>
    </row>
    <row r="16" spans="2:15">
      <c r="B16" s="171" t="s">
        <v>566</v>
      </c>
      <c r="C16" s="6"/>
      <c r="E16" s="172">
        <v>71</v>
      </c>
      <c r="F16" s="172"/>
      <c r="G16" s="6"/>
      <c r="I16" s="172">
        <v>5000</v>
      </c>
      <c r="J16" s="172">
        <v>90</v>
      </c>
      <c r="K16" s="172"/>
      <c r="L16" s="6"/>
    </row>
    <row r="17" spans="2:12">
      <c r="B17" s="171" t="s">
        <v>567</v>
      </c>
      <c r="C17" s="6"/>
      <c r="E17" s="172">
        <v>98</v>
      </c>
      <c r="F17" s="172"/>
      <c r="G17" s="6"/>
      <c r="I17" s="172">
        <v>2000</v>
      </c>
      <c r="J17" s="172">
        <v>120</v>
      </c>
      <c r="K17" s="172"/>
      <c r="L17" s="6"/>
    </row>
    <row r="18" spans="2:12">
      <c r="B18" s="171" t="s">
        <v>568</v>
      </c>
      <c r="C18" s="6"/>
    </row>
    <row r="19" spans="2:12">
      <c r="B19" s="171" t="s">
        <v>626</v>
      </c>
      <c r="C19" s="6"/>
    </row>
    <row r="20" spans="2:12">
      <c r="B20" s="171" t="s">
        <v>569</v>
      </c>
      <c r="C20" s="6"/>
      <c r="E20" t="s">
        <v>635</v>
      </c>
    </row>
    <row r="21" spans="2:12">
      <c r="B21" s="171" t="s">
        <v>570</v>
      </c>
      <c r="C21" s="6"/>
    </row>
    <row r="22" spans="2:12">
      <c r="B22" s="171" t="s">
        <v>571</v>
      </c>
      <c r="C22" s="6"/>
    </row>
    <row r="23" spans="2:12">
      <c r="B23" s="171" t="s">
        <v>627</v>
      </c>
      <c r="C23" s="6"/>
    </row>
    <row r="24" spans="2:12">
      <c r="B24" s="171" t="s">
        <v>572</v>
      </c>
      <c r="C24" s="6"/>
    </row>
    <row r="25" spans="2:12">
      <c r="B25" s="171" t="s">
        <v>573</v>
      </c>
      <c r="C25" s="6"/>
    </row>
    <row r="26" spans="2:12">
      <c r="B26" s="171" t="s">
        <v>574</v>
      </c>
      <c r="C26" s="6"/>
    </row>
    <row r="27" spans="2:12">
      <c r="B27" s="171" t="s">
        <v>629</v>
      </c>
      <c r="C27" s="6"/>
    </row>
    <row r="28" spans="2:12">
      <c r="B28" s="171" t="s">
        <v>628</v>
      </c>
      <c r="C28" s="6"/>
    </row>
    <row r="29" spans="2:12">
      <c r="B29" s="171" t="s">
        <v>575</v>
      </c>
      <c r="C29" s="6"/>
    </row>
    <row r="30" spans="2:12">
      <c r="B30" s="171" t="s">
        <v>576</v>
      </c>
      <c r="C30" s="6"/>
    </row>
    <row r="31" spans="2:12">
      <c r="B31" s="171" t="s">
        <v>577</v>
      </c>
      <c r="C31" s="6"/>
    </row>
    <row r="32" spans="2:12">
      <c r="B32" s="171" t="s">
        <v>630</v>
      </c>
      <c r="C32" s="6"/>
    </row>
    <row r="33" spans="2:3">
      <c r="B33" s="171" t="s">
        <v>578</v>
      </c>
      <c r="C33" s="6"/>
    </row>
    <row r="34" spans="2:3">
      <c r="B34" s="171" t="s">
        <v>579</v>
      </c>
      <c r="C34" s="6"/>
    </row>
    <row r="35" spans="2:3">
      <c r="B35" s="171" t="s">
        <v>631</v>
      </c>
      <c r="C35" s="6"/>
    </row>
    <row r="36" spans="2:3">
      <c r="B36" s="171" t="s">
        <v>580</v>
      </c>
      <c r="C36" s="6"/>
    </row>
    <row r="37" spans="2:3">
      <c r="B37" s="171" t="s">
        <v>581</v>
      </c>
      <c r="C37" s="6"/>
    </row>
    <row r="38" spans="2:3">
      <c r="B38" s="171" t="s">
        <v>582</v>
      </c>
      <c r="C38" s="6"/>
    </row>
    <row r="39" spans="2:3">
      <c r="B39" s="171" t="s">
        <v>632</v>
      </c>
      <c r="C39" s="6"/>
    </row>
    <row r="40" spans="2:3">
      <c r="B40" s="171" t="s">
        <v>583</v>
      </c>
      <c r="C40" s="6"/>
    </row>
    <row r="41" spans="2:3">
      <c r="B41" s="171" t="s">
        <v>584</v>
      </c>
      <c r="C41" s="6"/>
    </row>
    <row r="42" spans="2:3">
      <c r="B42" s="171" t="s">
        <v>585</v>
      </c>
      <c r="C42" s="6"/>
    </row>
    <row r="43" spans="2:3">
      <c r="B43" s="171" t="s">
        <v>586</v>
      </c>
      <c r="C43" s="6"/>
    </row>
    <row r="44" spans="2:3">
      <c r="B44" s="171" t="s">
        <v>633</v>
      </c>
      <c r="C44" s="6"/>
    </row>
    <row r="45" spans="2:3">
      <c r="B45" s="171" t="s">
        <v>587</v>
      </c>
      <c r="C45" s="6"/>
    </row>
    <row r="46" spans="2:3">
      <c r="B46" s="171" t="s">
        <v>588</v>
      </c>
      <c r="C46" s="6"/>
    </row>
    <row r="47" spans="2:3">
      <c r="B47" s="171" t="s">
        <v>589</v>
      </c>
      <c r="C47" s="6"/>
    </row>
    <row r="48" spans="2:3">
      <c r="B48" s="171" t="s">
        <v>590</v>
      </c>
      <c r="C48" s="6"/>
    </row>
    <row r="49" spans="2:3">
      <c r="B49" s="171" t="s">
        <v>591</v>
      </c>
      <c r="C49" s="6"/>
    </row>
    <row r="50" spans="2:3">
      <c r="B50" s="171" t="s">
        <v>592</v>
      </c>
      <c r="C50" s="6"/>
    </row>
    <row r="51" spans="2:3">
      <c r="B51" s="171" t="s">
        <v>593</v>
      </c>
      <c r="C51" s="6"/>
    </row>
    <row r="52" spans="2:3">
      <c r="B52" s="171" t="s">
        <v>594</v>
      </c>
      <c r="C52" s="6"/>
    </row>
    <row r="53" spans="2:3">
      <c r="B53" s="171" t="s">
        <v>595</v>
      </c>
      <c r="C53" s="6"/>
    </row>
    <row r="54" spans="2:3">
      <c r="B54" s="171" t="s">
        <v>596</v>
      </c>
      <c r="C54" s="6"/>
    </row>
    <row r="55" spans="2:3">
      <c r="B55" s="171" t="s">
        <v>597</v>
      </c>
      <c r="C55" s="6"/>
    </row>
    <row r="56" spans="2:3">
      <c r="B56" s="171" t="s">
        <v>598</v>
      </c>
      <c r="C56" s="6"/>
    </row>
    <row r="57" spans="2:3">
      <c r="B57" s="171" t="s">
        <v>599</v>
      </c>
      <c r="C57" s="6"/>
    </row>
    <row r="58" spans="2:3">
      <c r="B58" s="171" t="s">
        <v>600</v>
      </c>
      <c r="C58" s="6"/>
    </row>
    <row r="59" spans="2:3">
      <c r="B59" s="171" t="s">
        <v>601</v>
      </c>
      <c r="C59" s="6"/>
    </row>
    <row r="60" spans="2:3">
      <c r="B60" s="171" t="s">
        <v>602</v>
      </c>
      <c r="C60" s="6"/>
    </row>
    <row r="61" spans="2:3">
      <c r="B61" s="171" t="s">
        <v>603</v>
      </c>
      <c r="C61" s="6"/>
    </row>
    <row r="62" spans="2:3">
      <c r="B62" s="171" t="s">
        <v>604</v>
      </c>
      <c r="C62" s="6"/>
    </row>
    <row r="63" spans="2:3">
      <c r="B63" s="171" t="s">
        <v>605</v>
      </c>
      <c r="C63" s="6"/>
    </row>
    <row r="64" spans="2:3">
      <c r="B64" s="171" t="s">
        <v>606</v>
      </c>
      <c r="C64" s="6"/>
    </row>
    <row r="65" spans="2:3">
      <c r="B65" s="171" t="s">
        <v>607</v>
      </c>
      <c r="C65" s="6"/>
    </row>
    <row r="66" spans="2:3">
      <c r="B66" s="171" t="s">
        <v>608</v>
      </c>
      <c r="C66" s="6"/>
    </row>
    <row r="67" spans="2:3">
      <c r="B67" s="171" t="s">
        <v>609</v>
      </c>
      <c r="C67" s="6"/>
    </row>
    <row r="68" spans="2:3">
      <c r="B68" s="171" t="s">
        <v>610</v>
      </c>
      <c r="C68" s="6"/>
    </row>
    <row r="69" spans="2:3">
      <c r="B69" s="171" t="s">
        <v>611</v>
      </c>
      <c r="C69" s="6"/>
    </row>
    <row r="70" spans="2:3">
      <c r="B70" s="171" t="s">
        <v>612</v>
      </c>
      <c r="C70" s="6"/>
    </row>
    <row r="71" spans="2:3">
      <c r="B71" s="171" t="s">
        <v>613</v>
      </c>
      <c r="C71" s="6"/>
    </row>
    <row r="72" spans="2:3">
      <c r="B72" s="171" t="s">
        <v>614</v>
      </c>
      <c r="C72" s="6"/>
    </row>
    <row r="73" spans="2:3">
      <c r="B73" s="171" t="s">
        <v>615</v>
      </c>
      <c r="C73" s="6"/>
    </row>
    <row r="74" spans="2:3">
      <c r="B74" s="171" t="s">
        <v>616</v>
      </c>
      <c r="C74" s="6"/>
    </row>
    <row r="75" spans="2:3">
      <c r="B75" s="171" t="s">
        <v>617</v>
      </c>
      <c r="C75" s="6"/>
    </row>
    <row r="76" spans="2:3">
      <c r="B76" s="171" t="s">
        <v>618</v>
      </c>
      <c r="C76" s="6"/>
    </row>
    <row r="77" spans="2:3">
      <c r="B77" s="171" t="s">
        <v>619</v>
      </c>
      <c r="C77" s="6"/>
    </row>
    <row r="78" spans="2:3">
      <c r="B78" s="171" t="s">
        <v>620</v>
      </c>
      <c r="C78" s="6"/>
    </row>
  </sheetData>
  <phoneticPr fontId="2" type="noConversion"/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1A8234-7675-4FD4-BF17-952395DB185B}">
  <sheetPr codeName="Sheet33"/>
  <dimension ref="B2:N20"/>
  <sheetViews>
    <sheetView workbookViewId="0">
      <selection activeCell="B1" sqref="B1"/>
    </sheetView>
  </sheetViews>
  <sheetFormatPr defaultRowHeight="16.5"/>
  <cols>
    <col min="1" max="1" width="3.5" customWidth="1"/>
    <col min="2" max="2" width="5.125" customWidth="1"/>
    <col min="3" max="3" width="13.125" bestFit="1" customWidth="1"/>
    <col min="4" max="4" width="2.125" customWidth="1"/>
    <col min="5" max="5" width="8.125" customWidth="1"/>
    <col min="6" max="6" width="4" customWidth="1"/>
    <col min="7" max="7" width="8.125" customWidth="1"/>
    <col min="8" max="8" width="14.25" customWidth="1"/>
    <col min="9" max="9" width="2.875" customWidth="1"/>
    <col min="12" max="12" width="15.625" customWidth="1"/>
    <col min="13" max="13" width="11.25" customWidth="1"/>
    <col min="14" max="14" width="15.25" customWidth="1"/>
    <col min="15" max="15" width="11.375" customWidth="1"/>
  </cols>
  <sheetData>
    <row r="2" spans="2:14" ht="20.25">
      <c r="B2" s="27" t="s">
        <v>681</v>
      </c>
      <c r="G2" s="27" t="s">
        <v>682</v>
      </c>
      <c r="L2" s="27" t="s">
        <v>683</v>
      </c>
    </row>
    <row r="3" spans="2:14" ht="7.5" customHeight="1"/>
    <row r="4" spans="2:14" ht="36" customHeight="1">
      <c r="B4" s="175" t="s">
        <v>684</v>
      </c>
      <c r="C4" s="175" t="s">
        <v>685</v>
      </c>
      <c r="G4" s="175" t="s">
        <v>684</v>
      </c>
      <c r="H4" s="175" t="s">
        <v>685</v>
      </c>
      <c r="L4" s="177" t="s">
        <v>696</v>
      </c>
      <c r="M4" s="177" t="s">
        <v>697</v>
      </c>
      <c r="N4" s="186" t="s">
        <v>698</v>
      </c>
    </row>
    <row r="5" spans="2:14" ht="22.5" customHeight="1">
      <c r="B5" s="176">
        <v>1</v>
      </c>
      <c r="C5" s="6"/>
      <c r="E5" t="s">
        <v>686</v>
      </c>
      <c r="G5" s="176">
        <v>0</v>
      </c>
      <c r="H5" s="6"/>
      <c r="J5" t="s">
        <v>687</v>
      </c>
      <c r="L5" s="187">
        <v>43101</v>
      </c>
      <c r="M5" s="6"/>
      <c r="N5" s="6"/>
    </row>
    <row r="6" spans="2:14" ht="22.5" customHeight="1">
      <c r="B6" s="176">
        <v>5</v>
      </c>
      <c r="C6" s="6"/>
      <c r="E6" t="s">
        <v>688</v>
      </c>
      <c r="G6" s="176">
        <v>4</v>
      </c>
      <c r="H6" s="6"/>
      <c r="J6" t="s">
        <v>689</v>
      </c>
      <c r="L6" s="187">
        <v>43102</v>
      </c>
      <c r="M6" s="6"/>
      <c r="N6" s="6"/>
    </row>
    <row r="7" spans="2:14" ht="22.5" customHeight="1">
      <c r="B7" s="176">
        <v>7</v>
      </c>
      <c r="C7" s="6"/>
      <c r="E7" t="s">
        <v>690</v>
      </c>
      <c r="G7" s="176">
        <v>6</v>
      </c>
      <c r="H7" s="6"/>
      <c r="J7" t="s">
        <v>691</v>
      </c>
      <c r="L7" s="187">
        <v>43103</v>
      </c>
      <c r="M7" s="6"/>
      <c r="N7" s="6"/>
    </row>
    <row r="8" spans="2:14" ht="22.5" customHeight="1">
      <c r="B8" s="176">
        <v>2</v>
      </c>
      <c r="C8" s="6"/>
      <c r="E8" s="185" t="s">
        <v>692</v>
      </c>
      <c r="G8" s="176">
        <v>1</v>
      </c>
      <c r="H8" s="6"/>
      <c r="J8" s="185" t="s">
        <v>693</v>
      </c>
      <c r="L8" s="187">
        <v>43104</v>
      </c>
      <c r="M8" s="6"/>
      <c r="N8" s="6"/>
    </row>
    <row r="9" spans="2:14" ht="22.5" customHeight="1">
      <c r="B9" s="176">
        <v>3</v>
      </c>
      <c r="C9" s="6"/>
      <c r="E9" t="s">
        <v>694</v>
      </c>
      <c r="G9" s="176">
        <v>2</v>
      </c>
      <c r="H9" s="6"/>
      <c r="J9" t="s">
        <v>695</v>
      </c>
      <c r="L9" s="187">
        <v>43105</v>
      </c>
      <c r="M9" s="6"/>
      <c r="N9" s="6"/>
    </row>
    <row r="10" spans="2:14" ht="22.5" customHeight="1">
      <c r="B10" s="176">
        <v>4</v>
      </c>
      <c r="C10" s="6"/>
      <c r="G10" s="176">
        <v>3</v>
      </c>
      <c r="H10" s="6"/>
      <c r="L10" s="187">
        <v>43106</v>
      </c>
      <c r="M10" s="6"/>
      <c r="N10" s="6"/>
    </row>
    <row r="11" spans="2:14" ht="22.5" customHeight="1">
      <c r="B11" s="176">
        <v>6</v>
      </c>
      <c r="C11" s="6"/>
      <c r="G11" s="176">
        <v>5</v>
      </c>
      <c r="H11" s="6"/>
      <c r="L11" s="187">
        <v>43107</v>
      </c>
      <c r="M11" s="6"/>
      <c r="N11" s="6"/>
    </row>
    <row r="12" spans="2:14" ht="22.5" customHeight="1">
      <c r="B12" s="176">
        <v>2</v>
      </c>
      <c r="C12" s="6"/>
      <c r="G12" s="176">
        <v>1</v>
      </c>
      <c r="H12" s="6"/>
      <c r="L12" s="187">
        <v>43108</v>
      </c>
      <c r="M12" s="6"/>
      <c r="N12" s="6"/>
    </row>
    <row r="13" spans="2:14" ht="22.5" customHeight="1">
      <c r="L13" s="187">
        <v>43109</v>
      </c>
      <c r="M13" s="6"/>
      <c r="N13" s="6"/>
    </row>
    <row r="14" spans="2:14" ht="22.5" customHeight="1">
      <c r="L14" s="187">
        <v>43110</v>
      </c>
      <c r="M14" s="6"/>
      <c r="N14" s="6"/>
    </row>
    <row r="15" spans="2:14" ht="22.5" customHeight="1">
      <c r="L15" s="187">
        <v>43111</v>
      </c>
      <c r="M15" s="6"/>
      <c r="N15" s="6"/>
    </row>
    <row r="16" spans="2:14" ht="22.5" customHeight="1">
      <c r="L16" s="187">
        <v>43112</v>
      </c>
      <c r="M16" s="6"/>
      <c r="N16" s="6"/>
    </row>
    <row r="17" spans="12:14" ht="22.5" customHeight="1">
      <c r="L17" s="187">
        <v>43113</v>
      </c>
      <c r="M17" s="6"/>
      <c r="N17" s="6"/>
    </row>
    <row r="18" spans="12:14" ht="22.5" customHeight="1"/>
    <row r="19" spans="12:14" ht="22.5" customHeight="1"/>
    <row r="20" spans="12:14" ht="22.5" customHeight="1"/>
  </sheetData>
  <phoneticPr fontId="2" type="noConversion"/>
  <pageMargins left="0.7" right="0.7" top="0.75" bottom="0.75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EF6C6F-CFC6-49BF-9EE8-886141DC24FC}">
  <sheetPr codeName="Sheet34"/>
  <dimension ref="B2:L23"/>
  <sheetViews>
    <sheetView workbookViewId="0">
      <selection activeCell="B1" sqref="B1"/>
    </sheetView>
  </sheetViews>
  <sheetFormatPr defaultRowHeight="16.5"/>
  <cols>
    <col min="1" max="1" width="3.25" customWidth="1"/>
    <col min="3" max="3" width="9" style="178"/>
    <col min="4" max="4" width="8" customWidth="1"/>
    <col min="5" max="5" width="3.375" customWidth="1"/>
    <col min="7" max="7" width="2.625" customWidth="1"/>
    <col min="8" max="9" width="9" style="178"/>
    <col min="10" max="10" width="2.375" customWidth="1"/>
  </cols>
  <sheetData>
    <row r="2" spans="2:12" ht="29.25" customHeight="1">
      <c r="B2" s="183" t="s">
        <v>636</v>
      </c>
    </row>
    <row r="3" spans="2:12" ht="18.75" customHeight="1">
      <c r="B3" t="s">
        <v>637</v>
      </c>
    </row>
    <row r="4" spans="2:12" ht="18.75" customHeight="1">
      <c r="B4" s="177" t="s">
        <v>638</v>
      </c>
      <c r="C4" s="177" t="s">
        <v>25</v>
      </c>
      <c r="D4" s="177" t="s">
        <v>78</v>
      </c>
      <c r="H4" s="177" t="s">
        <v>639</v>
      </c>
      <c r="I4" s="177" t="s">
        <v>640</v>
      </c>
      <c r="K4" s="177" t="s">
        <v>639</v>
      </c>
      <c r="L4" s="177" t="s">
        <v>429</v>
      </c>
    </row>
    <row r="5" spans="2:12" ht="18.75" customHeight="1">
      <c r="B5" s="184" t="s">
        <v>641</v>
      </c>
      <c r="C5" s="176">
        <v>51</v>
      </c>
      <c r="D5" s="176"/>
      <c r="H5" s="176" t="s">
        <v>642</v>
      </c>
      <c r="I5" s="176" t="s">
        <v>643</v>
      </c>
      <c r="K5" s="176" t="s">
        <v>9</v>
      </c>
      <c r="L5" s="6"/>
    </row>
    <row r="6" spans="2:12" ht="18.75" customHeight="1">
      <c r="B6" s="184" t="s">
        <v>644</v>
      </c>
      <c r="C6" s="176">
        <v>73</v>
      </c>
      <c r="D6" s="176"/>
      <c r="H6" s="176" t="s">
        <v>645</v>
      </c>
      <c r="I6" s="176" t="s">
        <v>646</v>
      </c>
      <c r="K6" s="176" t="s">
        <v>11</v>
      </c>
      <c r="L6" s="6"/>
    </row>
    <row r="7" spans="2:12" ht="18.75" customHeight="1">
      <c r="B7" s="184" t="s">
        <v>647</v>
      </c>
      <c r="C7" s="176">
        <v>59</v>
      </c>
      <c r="D7" s="176"/>
      <c r="H7" s="176" t="s">
        <v>648</v>
      </c>
      <c r="I7" s="176" t="s">
        <v>649</v>
      </c>
      <c r="K7" s="176" t="s">
        <v>6</v>
      </c>
      <c r="L7" s="6"/>
    </row>
    <row r="8" spans="2:12" ht="18.75" customHeight="1">
      <c r="B8" s="184" t="s">
        <v>650</v>
      </c>
      <c r="C8" s="176">
        <v>85</v>
      </c>
      <c r="D8" s="176"/>
      <c r="H8" s="176" t="s">
        <v>651</v>
      </c>
      <c r="I8" s="176" t="s">
        <v>652</v>
      </c>
      <c r="K8" s="176" t="s">
        <v>7</v>
      </c>
      <c r="L8" s="6"/>
    </row>
    <row r="9" spans="2:12" ht="18.75" customHeight="1">
      <c r="B9" s="184" t="s">
        <v>653</v>
      </c>
      <c r="C9" s="176">
        <v>96</v>
      </c>
      <c r="D9" s="176"/>
      <c r="H9" s="176" t="s">
        <v>654</v>
      </c>
      <c r="I9" s="176" t="s">
        <v>655</v>
      </c>
      <c r="K9" s="176" t="s">
        <v>10</v>
      </c>
      <c r="L9" s="6"/>
    </row>
    <row r="10" spans="2:12" ht="18.75" customHeight="1">
      <c r="B10" s="184" t="s">
        <v>656</v>
      </c>
      <c r="C10" s="176">
        <v>90</v>
      </c>
      <c r="D10" s="176"/>
      <c r="H10" s="176" t="s">
        <v>657</v>
      </c>
      <c r="I10" s="176" t="s">
        <v>658</v>
      </c>
      <c r="K10" s="176" t="s">
        <v>11</v>
      </c>
      <c r="L10" s="6"/>
    </row>
    <row r="11" spans="2:12" ht="18.75" customHeight="1">
      <c r="B11" s="184" t="s">
        <v>659</v>
      </c>
      <c r="C11" s="176">
        <v>66</v>
      </c>
      <c r="D11" s="176"/>
      <c r="H11" s="176" t="s">
        <v>660</v>
      </c>
      <c r="I11" s="176" t="s">
        <v>661</v>
      </c>
      <c r="K11" s="176" t="s">
        <v>6</v>
      </c>
      <c r="L11" s="6"/>
    </row>
    <row r="12" spans="2:12" ht="18.75" customHeight="1">
      <c r="B12" s="184" t="s">
        <v>662</v>
      </c>
      <c r="C12" s="176">
        <v>76</v>
      </c>
      <c r="D12" s="176"/>
      <c r="H12" s="176" t="s">
        <v>663</v>
      </c>
      <c r="I12" s="176" t="s">
        <v>664</v>
      </c>
      <c r="K12" s="176" t="s">
        <v>12</v>
      </c>
      <c r="L12" s="6"/>
    </row>
    <row r="13" spans="2:12" ht="18.75" customHeight="1">
      <c r="B13" s="184" t="s">
        <v>665</v>
      </c>
      <c r="C13" s="176">
        <v>83</v>
      </c>
      <c r="D13" s="176"/>
      <c r="H13" s="176" t="s">
        <v>666</v>
      </c>
      <c r="I13" s="176" t="s">
        <v>667</v>
      </c>
      <c r="K13" s="176" t="s">
        <v>668</v>
      </c>
      <c r="L13" s="6"/>
    </row>
    <row r="14" spans="2:12" ht="18.75" customHeight="1">
      <c r="B14" s="184" t="s">
        <v>669</v>
      </c>
      <c r="C14" s="176">
        <v>84</v>
      </c>
      <c r="D14" s="176"/>
      <c r="H14" s="176" t="s">
        <v>670</v>
      </c>
      <c r="I14" s="176" t="s">
        <v>671</v>
      </c>
      <c r="K14" s="176" t="s">
        <v>5</v>
      </c>
      <c r="L14" s="6"/>
    </row>
    <row r="15" spans="2:12" ht="18.75" customHeight="1">
      <c r="B15" s="184" t="s">
        <v>672</v>
      </c>
      <c r="C15" s="176">
        <v>67</v>
      </c>
      <c r="D15" s="176"/>
      <c r="K15" s="176" t="s">
        <v>9</v>
      </c>
      <c r="L15" s="6"/>
    </row>
    <row r="16" spans="2:12" ht="18.75" customHeight="1">
      <c r="B16" s="184" t="s">
        <v>673</v>
      </c>
      <c r="C16" s="176">
        <v>53</v>
      </c>
      <c r="D16" s="176"/>
      <c r="K16" s="176" t="s">
        <v>9</v>
      </c>
      <c r="L16" s="6"/>
    </row>
    <row r="17" spans="2:12" ht="18.75" customHeight="1">
      <c r="B17" s="184" t="s">
        <v>674</v>
      </c>
      <c r="C17" s="176">
        <v>99</v>
      </c>
      <c r="D17" s="176"/>
      <c r="K17" s="176" t="s">
        <v>11</v>
      </c>
      <c r="L17" s="6"/>
    </row>
    <row r="18" spans="2:12" ht="18.75" customHeight="1">
      <c r="B18" s="184" t="s">
        <v>675</v>
      </c>
      <c r="C18" s="176">
        <v>55</v>
      </c>
      <c r="D18" s="176"/>
      <c r="K18" s="176" t="s">
        <v>11</v>
      </c>
      <c r="L18" s="6"/>
    </row>
    <row r="19" spans="2:12" ht="18.75" customHeight="1">
      <c r="B19" s="184" t="s">
        <v>676</v>
      </c>
      <c r="C19" s="176">
        <v>61</v>
      </c>
      <c r="D19" s="176"/>
      <c r="K19" s="176" t="s">
        <v>7</v>
      </c>
      <c r="L19" s="6"/>
    </row>
    <row r="20" spans="2:12" ht="18.75" customHeight="1">
      <c r="B20" s="184" t="s">
        <v>677</v>
      </c>
      <c r="C20" s="176">
        <v>77</v>
      </c>
      <c r="D20" s="176"/>
      <c r="K20" s="176" t="s">
        <v>5</v>
      </c>
      <c r="L20" s="6"/>
    </row>
    <row r="21" spans="2:12" ht="18.75" customHeight="1">
      <c r="B21" s="184" t="s">
        <v>678</v>
      </c>
      <c r="C21" s="176">
        <v>95</v>
      </c>
      <c r="D21" s="176"/>
      <c r="K21" s="176" t="s">
        <v>10</v>
      </c>
      <c r="L21" s="6"/>
    </row>
    <row r="22" spans="2:12">
      <c r="B22" s="184" t="s">
        <v>679</v>
      </c>
      <c r="C22" s="176">
        <v>78</v>
      </c>
      <c r="D22" s="176"/>
      <c r="K22" s="176" t="s">
        <v>668</v>
      </c>
      <c r="L22" s="6"/>
    </row>
    <row r="23" spans="2:12">
      <c r="B23" s="184" t="s">
        <v>680</v>
      </c>
      <c r="C23" s="176">
        <v>71</v>
      </c>
      <c r="D23" s="176"/>
      <c r="K23" s="176" t="s">
        <v>8</v>
      </c>
      <c r="L23" s="6"/>
    </row>
  </sheetData>
  <phoneticPr fontId="2" type="noConversion"/>
  <pageMargins left="0.7" right="0.7" top="0.75" bottom="0.75" header="0.3" footer="0.3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2DE9C-0A5A-4921-A6C4-8C6C056FA39E}">
  <sheetPr codeName="Sheet35"/>
  <dimension ref="B2:C16"/>
  <sheetViews>
    <sheetView workbookViewId="0">
      <selection activeCell="B1" sqref="B1"/>
    </sheetView>
  </sheetViews>
  <sheetFormatPr defaultRowHeight="16.5"/>
  <cols>
    <col min="1" max="1" width="3.5" customWidth="1"/>
    <col min="2" max="2" width="13" bestFit="1" customWidth="1"/>
    <col min="3" max="3" width="50.875" customWidth="1"/>
    <col min="4" max="4" width="2.375" customWidth="1"/>
    <col min="5" max="5" width="11.5" customWidth="1"/>
  </cols>
  <sheetData>
    <row r="2" spans="2:3" ht="23.25" customHeight="1">
      <c r="B2" s="180" t="s">
        <v>205</v>
      </c>
      <c r="C2" s="180" t="s">
        <v>709</v>
      </c>
    </row>
    <row r="3" spans="2:3" ht="23.25" customHeight="1">
      <c r="B3" s="65">
        <v>150000000</v>
      </c>
      <c r="C3" s="189"/>
    </row>
    <row r="4" spans="2:3" ht="23.25" customHeight="1">
      <c r="B4" s="65">
        <v>280000000</v>
      </c>
      <c r="C4" s="189"/>
    </row>
    <row r="5" spans="2:3" ht="23.25" customHeight="1">
      <c r="B5" s="65">
        <v>350000000</v>
      </c>
      <c r="C5" s="189"/>
    </row>
    <row r="6" spans="2:3" ht="23.25" customHeight="1">
      <c r="B6" s="65">
        <v>180000000</v>
      </c>
      <c r="C6" s="189"/>
    </row>
    <row r="7" spans="2:3" ht="23.25" customHeight="1">
      <c r="B7" s="46">
        <v>80000000</v>
      </c>
      <c r="C7" s="189"/>
    </row>
    <row r="8" spans="2:3" ht="23.25" customHeight="1"/>
    <row r="9" spans="2:3" ht="23.25" customHeight="1">
      <c r="B9" s="180" t="s">
        <v>25</v>
      </c>
      <c r="C9" s="180" t="s">
        <v>709</v>
      </c>
    </row>
    <row r="10" spans="2:3" ht="23.25" customHeight="1">
      <c r="B10" s="181">
        <v>83</v>
      </c>
      <c r="C10" s="6"/>
    </row>
    <row r="11" spans="2:3" ht="23.25" customHeight="1">
      <c r="B11" s="181">
        <v>95</v>
      </c>
      <c r="C11" s="6"/>
    </row>
    <row r="12" spans="2:3" ht="23.25" customHeight="1">
      <c r="B12" s="181">
        <v>78</v>
      </c>
      <c r="C12" s="6"/>
    </row>
    <row r="13" spans="2:3" ht="23.25" customHeight="1">
      <c r="B13" s="181">
        <v>90</v>
      </c>
      <c r="C13" s="6"/>
    </row>
    <row r="14" spans="2:3" ht="23.25" customHeight="1">
      <c r="B14" s="181">
        <v>65</v>
      </c>
      <c r="C14" s="6"/>
    </row>
    <row r="15" spans="2:3" ht="23.25" customHeight="1">
      <c r="B15" s="181">
        <v>72</v>
      </c>
      <c r="C15" s="6"/>
    </row>
    <row r="16" spans="2:3" ht="23.25" customHeight="1">
      <c r="B16" s="181">
        <v>50</v>
      </c>
      <c r="C16" s="6"/>
    </row>
  </sheetData>
  <phoneticPr fontId="2" type="noConversion"/>
  <pageMargins left="0.7" right="0.7" top="0.75" bottom="0.75" header="0.3" footer="0.3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3F98AB-23AC-406F-A5C4-900693BEC503}">
  <sheetPr codeName="Sheet36"/>
  <dimension ref="B2:G22"/>
  <sheetViews>
    <sheetView workbookViewId="0">
      <selection activeCell="B1" sqref="B1"/>
    </sheetView>
  </sheetViews>
  <sheetFormatPr defaultRowHeight="18.75" customHeight="1"/>
  <cols>
    <col min="1" max="1" width="3.5" customWidth="1"/>
    <col min="2" max="2" width="8.5" customWidth="1"/>
    <col min="3" max="3" width="11.125" bestFit="1" customWidth="1"/>
    <col min="4" max="4" width="17.5" customWidth="1"/>
    <col min="7" max="7" width="13" bestFit="1" customWidth="1"/>
  </cols>
  <sheetData>
    <row r="2" spans="2:7" ht="18.75" customHeight="1">
      <c r="B2" s="180" t="s">
        <v>699</v>
      </c>
      <c r="C2" s="180" t="s">
        <v>213</v>
      </c>
      <c r="D2" s="180" t="s">
        <v>117</v>
      </c>
      <c r="E2" s="180" t="s">
        <v>118</v>
      </c>
      <c r="F2" s="180" t="s">
        <v>119</v>
      </c>
      <c r="G2" s="180" t="s">
        <v>120</v>
      </c>
    </row>
    <row r="3" spans="2:7" ht="18.75" customHeight="1">
      <c r="B3" s="181">
        <v>1</v>
      </c>
      <c r="C3" s="182">
        <v>42369</v>
      </c>
      <c r="D3" s="184" t="s">
        <v>700</v>
      </c>
      <c r="E3" s="181" t="s">
        <v>246</v>
      </c>
      <c r="F3" s="181" t="s">
        <v>701</v>
      </c>
      <c r="G3" s="46">
        <v>2103000</v>
      </c>
    </row>
    <row r="4" spans="2:7" ht="18.75" customHeight="1">
      <c r="B4" s="188">
        <v>2</v>
      </c>
      <c r="C4" s="182">
        <v>42370</v>
      </c>
      <c r="D4" s="184" t="s">
        <v>702</v>
      </c>
      <c r="E4" s="181" t="s">
        <v>130</v>
      </c>
      <c r="F4" s="181" t="s">
        <v>131</v>
      </c>
      <c r="G4" s="46">
        <v>485000</v>
      </c>
    </row>
    <row r="5" spans="2:7" ht="18.75" customHeight="1">
      <c r="B5" s="188">
        <v>3</v>
      </c>
      <c r="C5" s="182">
        <v>42370</v>
      </c>
      <c r="D5" s="184" t="s">
        <v>121</v>
      </c>
      <c r="E5" s="181" t="s">
        <v>127</v>
      </c>
      <c r="F5" s="181" t="s">
        <v>701</v>
      </c>
      <c r="G5" s="46">
        <v>400000</v>
      </c>
    </row>
    <row r="6" spans="2:7" ht="18.75" customHeight="1">
      <c r="B6" s="188">
        <v>4</v>
      </c>
      <c r="C6" s="182">
        <v>42374</v>
      </c>
      <c r="D6" s="184" t="s">
        <v>132</v>
      </c>
      <c r="E6" s="181" t="s">
        <v>130</v>
      </c>
      <c r="F6" s="181" t="s">
        <v>131</v>
      </c>
      <c r="G6" s="46">
        <v>2837950</v>
      </c>
    </row>
    <row r="7" spans="2:7" ht="18.75" customHeight="1">
      <c r="B7" s="188">
        <v>5</v>
      </c>
      <c r="C7" s="182">
        <v>42374</v>
      </c>
      <c r="D7" s="184" t="s">
        <v>703</v>
      </c>
      <c r="E7" s="181" t="s">
        <v>127</v>
      </c>
      <c r="F7" s="181" t="s">
        <v>134</v>
      </c>
      <c r="G7" s="46">
        <v>2150000</v>
      </c>
    </row>
    <row r="8" spans="2:7" ht="18.75" customHeight="1">
      <c r="B8" s="188">
        <v>6</v>
      </c>
      <c r="C8" s="182">
        <v>42376</v>
      </c>
      <c r="D8" s="184" t="s">
        <v>124</v>
      </c>
      <c r="E8" s="181" t="s">
        <v>125</v>
      </c>
      <c r="F8" s="181" t="s">
        <v>123</v>
      </c>
      <c r="G8" s="46">
        <v>8201390</v>
      </c>
    </row>
    <row r="9" spans="2:7" ht="18.75" customHeight="1">
      <c r="B9" s="188">
        <v>7</v>
      </c>
      <c r="C9" s="182">
        <v>42376</v>
      </c>
      <c r="D9" s="184" t="s">
        <v>126</v>
      </c>
      <c r="E9" s="181" t="s">
        <v>127</v>
      </c>
      <c r="F9" s="181" t="s">
        <v>128</v>
      </c>
      <c r="G9" s="46">
        <v>48000</v>
      </c>
    </row>
    <row r="10" spans="2:7" ht="18.75" customHeight="1">
      <c r="B10" s="188">
        <v>8</v>
      </c>
      <c r="C10" s="182">
        <v>42377</v>
      </c>
      <c r="D10" s="184" t="s">
        <v>704</v>
      </c>
      <c r="E10" s="181" t="s">
        <v>246</v>
      </c>
      <c r="F10" s="181" t="s">
        <v>131</v>
      </c>
      <c r="G10" s="46">
        <v>2432000</v>
      </c>
    </row>
    <row r="11" spans="2:7" ht="18.75" customHeight="1">
      <c r="B11" s="188">
        <v>9</v>
      </c>
      <c r="C11" s="182">
        <v>42377</v>
      </c>
      <c r="D11" s="184" t="s">
        <v>705</v>
      </c>
      <c r="E11" s="181" t="s">
        <v>133</v>
      </c>
      <c r="F11" s="181" t="s">
        <v>128</v>
      </c>
      <c r="G11" s="46">
        <v>123303000</v>
      </c>
    </row>
    <row r="12" spans="2:7" ht="18.75" customHeight="1">
      <c r="B12" s="188">
        <v>10</v>
      </c>
      <c r="C12" s="182">
        <v>42380</v>
      </c>
      <c r="D12" s="184" t="s">
        <v>706</v>
      </c>
      <c r="E12" s="181" t="s">
        <v>127</v>
      </c>
      <c r="F12" s="181" t="s">
        <v>134</v>
      </c>
      <c r="G12" s="46">
        <v>23155500</v>
      </c>
    </row>
    <row r="13" spans="2:7" ht="18.75" customHeight="1">
      <c r="B13" s="188">
        <v>11</v>
      </c>
      <c r="C13" s="182">
        <v>42383</v>
      </c>
      <c r="D13" s="184" t="s">
        <v>121</v>
      </c>
      <c r="E13" s="181" t="s">
        <v>122</v>
      </c>
      <c r="F13" s="181" t="s">
        <v>123</v>
      </c>
      <c r="G13" s="46">
        <v>445000</v>
      </c>
    </row>
    <row r="14" spans="2:7" ht="18.75" customHeight="1">
      <c r="B14" s="188">
        <v>12</v>
      </c>
      <c r="C14" s="182">
        <v>42387</v>
      </c>
      <c r="D14" s="184" t="s">
        <v>129</v>
      </c>
      <c r="E14" s="181" t="s">
        <v>130</v>
      </c>
      <c r="F14" s="181" t="s">
        <v>131</v>
      </c>
      <c r="G14" s="46">
        <v>730000</v>
      </c>
    </row>
    <row r="15" spans="2:7" ht="18.75" customHeight="1">
      <c r="B15" s="188">
        <v>13</v>
      </c>
      <c r="C15" s="182">
        <v>42391</v>
      </c>
      <c r="D15" s="184" t="s">
        <v>124</v>
      </c>
      <c r="E15" s="181" t="s">
        <v>127</v>
      </c>
      <c r="F15" s="181" t="s">
        <v>701</v>
      </c>
      <c r="G15" s="46">
        <v>250000</v>
      </c>
    </row>
    <row r="16" spans="2:7" ht="18.75" customHeight="1">
      <c r="B16" s="188">
        <v>14</v>
      </c>
      <c r="C16" s="182">
        <v>42391</v>
      </c>
      <c r="D16" s="184" t="s">
        <v>707</v>
      </c>
      <c r="E16" s="181" t="s">
        <v>127</v>
      </c>
      <c r="F16" s="181" t="s">
        <v>131</v>
      </c>
      <c r="G16" s="46">
        <v>550000</v>
      </c>
    </row>
    <row r="17" spans="2:7" ht="18.75" customHeight="1">
      <c r="B17" s="188">
        <v>15</v>
      </c>
      <c r="C17" s="182">
        <v>42394</v>
      </c>
      <c r="D17" s="184" t="s">
        <v>124</v>
      </c>
      <c r="E17" s="181" t="s">
        <v>130</v>
      </c>
      <c r="F17" s="181" t="s">
        <v>123</v>
      </c>
      <c r="G17" s="46">
        <v>162000</v>
      </c>
    </row>
    <row r="18" spans="2:7" ht="18.75" customHeight="1">
      <c r="B18" s="188">
        <v>16</v>
      </c>
      <c r="C18" s="182">
        <v>42396</v>
      </c>
      <c r="D18" s="184" t="s">
        <v>702</v>
      </c>
      <c r="E18" s="181" t="s">
        <v>133</v>
      </c>
      <c r="F18" s="181" t="s">
        <v>134</v>
      </c>
      <c r="G18" s="46">
        <v>56000</v>
      </c>
    </row>
    <row r="19" spans="2:7" ht="18.75" customHeight="1">
      <c r="B19" s="188">
        <v>17</v>
      </c>
      <c r="C19" s="182">
        <v>42397</v>
      </c>
      <c r="D19" s="184" t="s">
        <v>708</v>
      </c>
      <c r="E19" s="181" t="s">
        <v>133</v>
      </c>
      <c r="F19" s="181" t="s">
        <v>123</v>
      </c>
      <c r="G19" s="46">
        <v>16795820</v>
      </c>
    </row>
    <row r="20" spans="2:7" ht="18.75" customHeight="1">
      <c r="B20" s="188">
        <v>18</v>
      </c>
      <c r="C20" s="182">
        <v>42397</v>
      </c>
      <c r="D20" s="184" t="s">
        <v>129</v>
      </c>
      <c r="E20" s="181" t="s">
        <v>127</v>
      </c>
      <c r="F20" s="181" t="s">
        <v>131</v>
      </c>
      <c r="G20" s="46">
        <v>1700000</v>
      </c>
    </row>
    <row r="21" spans="2:7" ht="18.75" customHeight="1">
      <c r="B21" s="188">
        <v>19</v>
      </c>
      <c r="C21" s="182">
        <v>42398</v>
      </c>
      <c r="D21" s="184" t="s">
        <v>703</v>
      </c>
      <c r="E21" s="181" t="s">
        <v>125</v>
      </c>
      <c r="F21" s="181" t="s">
        <v>134</v>
      </c>
      <c r="G21" s="46">
        <v>23264100</v>
      </c>
    </row>
    <row r="22" spans="2:7" ht="18.75" customHeight="1">
      <c r="B22" s="188">
        <v>20</v>
      </c>
      <c r="C22" s="182">
        <v>42398</v>
      </c>
      <c r="D22" s="184" t="s">
        <v>700</v>
      </c>
      <c r="E22" s="181" t="s">
        <v>133</v>
      </c>
      <c r="F22" s="181" t="s">
        <v>701</v>
      </c>
      <c r="G22" s="46">
        <v>86000</v>
      </c>
    </row>
  </sheetData>
  <autoFilter ref="B2:G22" xr:uid="{6C90BC36-FEE7-4D01-9639-054CBC38EC4D}">
    <sortState ref="B3:G22">
      <sortCondition ref="C2:C22"/>
    </sortState>
  </autoFilter>
  <phoneticPr fontId="2" type="noConversion"/>
  <pageMargins left="0.7" right="0.7" top="0.75" bottom="0.75" header="0.3" footer="0.3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29074-EF77-4A45-8CFE-1FE3F57829FB}">
  <sheetPr codeName="Sheet37"/>
  <dimension ref="B2:H15"/>
  <sheetViews>
    <sheetView workbookViewId="0">
      <selection activeCell="B1" sqref="B1"/>
    </sheetView>
  </sheetViews>
  <sheetFormatPr defaultRowHeight="16.5"/>
  <cols>
    <col min="1" max="1" width="3.5" customWidth="1"/>
  </cols>
  <sheetData>
    <row r="2" spans="2:8" ht="24.75" customHeight="1">
      <c r="B2" t="s">
        <v>710</v>
      </c>
    </row>
    <row r="3" spans="2:8" ht="24.75" customHeight="1">
      <c r="B3" t="s">
        <v>711</v>
      </c>
    </row>
    <row r="5" spans="2:8" ht="36.75" customHeight="1">
      <c r="B5" s="101"/>
      <c r="C5" s="101"/>
      <c r="D5" s="101"/>
      <c r="E5" s="101"/>
      <c r="H5" s="6"/>
    </row>
    <row r="6" spans="2:8" ht="36.75" customHeight="1">
      <c r="B6" s="101"/>
      <c r="C6" s="101"/>
      <c r="D6" s="101"/>
      <c r="E6" s="101"/>
      <c r="H6" s="6"/>
    </row>
    <row r="7" spans="2:8" ht="36.75" customHeight="1">
      <c r="B7" s="101"/>
      <c r="C7" s="101"/>
      <c r="D7" s="101"/>
      <c r="E7" s="101"/>
      <c r="H7" s="6"/>
    </row>
    <row r="8" spans="2:8" ht="36.75" customHeight="1">
      <c r="B8" s="101"/>
      <c r="C8" s="101"/>
      <c r="D8" s="101"/>
      <c r="E8" s="101"/>
      <c r="H8" s="6"/>
    </row>
    <row r="9" spans="2:8" ht="36.75" customHeight="1">
      <c r="B9" s="101"/>
      <c r="C9" s="101"/>
      <c r="D9" s="101"/>
      <c r="E9" s="101"/>
      <c r="H9" s="6"/>
    </row>
    <row r="10" spans="2:8" ht="36.75" customHeight="1">
      <c r="H10" s="6"/>
    </row>
    <row r="11" spans="2:8" ht="36.75" customHeight="1">
      <c r="H11" s="6"/>
    </row>
    <row r="12" spans="2:8" ht="36.75" customHeight="1">
      <c r="H12" s="6"/>
    </row>
    <row r="13" spans="2:8" ht="36.75" customHeight="1"/>
    <row r="14" spans="2:8" ht="36.75" customHeight="1"/>
    <row r="15" spans="2:8" ht="36.75" customHeight="1"/>
  </sheetData>
  <phoneticPr fontId="2" type="noConversion"/>
  <pageMargins left="0.7" right="0.7" top="0.75" bottom="0.75" header="0.3" footer="0.3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379E7D-4B97-49E0-BA0F-420A9DDDC82B}">
  <sheetPr codeName="Sheet38"/>
  <dimension ref="B2:F33"/>
  <sheetViews>
    <sheetView workbookViewId="0">
      <selection activeCell="B1" sqref="B1"/>
    </sheetView>
  </sheetViews>
  <sheetFormatPr defaultRowHeight="16.5"/>
  <cols>
    <col min="1" max="1" width="3.625" customWidth="1"/>
    <col min="2" max="2" width="3" customWidth="1"/>
    <col min="3" max="3" width="24.375" customWidth="1"/>
  </cols>
  <sheetData>
    <row r="2" spans="2:6">
      <c r="B2" t="s">
        <v>712</v>
      </c>
    </row>
    <row r="3" spans="2:6">
      <c r="C3" t="s">
        <v>713</v>
      </c>
      <c r="D3" s="6">
        <f>FIND("E",C3)</f>
        <v>6</v>
      </c>
      <c r="E3" s="6">
        <f>SEARCH("E",C3)</f>
        <v>2</v>
      </c>
      <c r="F3" s="6"/>
    </row>
    <row r="4" spans="2:6">
      <c r="C4" t="s">
        <v>714</v>
      </c>
      <c r="D4" s="6" t="e">
        <f>FIND("E",C4)</f>
        <v>#VALUE!</v>
      </c>
      <c r="E4" s="6" t="e">
        <f>SEARCH("E",C4)</f>
        <v>#VALUE!</v>
      </c>
      <c r="F4" s="6"/>
    </row>
    <row r="6" spans="2:6">
      <c r="B6" t="s">
        <v>715</v>
      </c>
    </row>
    <row r="7" spans="2:6">
      <c r="C7" t="s">
        <v>716</v>
      </c>
      <c r="D7" s="6" t="str">
        <f>MID(C7,FIND("중구",C7),2)</f>
        <v>중구</v>
      </c>
      <c r="E7" s="6"/>
    </row>
    <row r="8" spans="2:6">
      <c r="C8" t="s">
        <v>717</v>
      </c>
      <c r="D8" s="6" t="str">
        <f>MID(C8,FIND("중구",C8),2)</f>
        <v>중구</v>
      </c>
      <c r="E8" s="6"/>
    </row>
    <row r="9" spans="2:6">
      <c r="C9" t="s">
        <v>718</v>
      </c>
      <c r="D9" s="6" t="str">
        <f t="shared" ref="D9" si="0">MID(C9,FIND("중구",C9),2)</f>
        <v>중구</v>
      </c>
      <c r="E9" s="6"/>
    </row>
    <row r="11" spans="2:6">
      <c r="B11" t="s">
        <v>719</v>
      </c>
    </row>
    <row r="12" spans="2:6">
      <c r="C12" t="s">
        <v>720</v>
      </c>
      <c r="D12" s="6">
        <f>VALUE(MID(C12,FIND("-",C12)+1,10))</f>
        <v>57</v>
      </c>
      <c r="E12" s="6"/>
    </row>
    <row r="13" spans="2:6">
      <c r="C13" t="s">
        <v>721</v>
      </c>
      <c r="D13" s="6">
        <f t="shared" ref="D13:D14" si="1">VALUE(MID(C13,FIND("-",C13)+1,10))</f>
        <v>85</v>
      </c>
      <c r="E13" s="6"/>
    </row>
    <row r="14" spans="2:6">
      <c r="C14" t="s">
        <v>722</v>
      </c>
      <c r="D14" s="6">
        <f t="shared" si="1"/>
        <v>1468</v>
      </c>
      <c r="E14" s="6"/>
    </row>
    <row r="17" spans="2:5">
      <c r="B17" t="s">
        <v>723</v>
      </c>
    </row>
    <row r="18" spans="2:5">
      <c r="C18" s="193" t="s">
        <v>724</v>
      </c>
      <c r="D18" s="6" t="str">
        <f>MID(C18,1,FIND("@",C18)-1)</f>
        <v>aaa</v>
      </c>
      <c r="E18" s="6"/>
    </row>
    <row r="19" spans="2:5">
      <c r="C19" s="193" t="s">
        <v>725</v>
      </c>
      <c r="D19" s="6" t="str">
        <f t="shared" ref="D19:D20" si="2">MID(C19,1,FIND("@",C19)-1)</f>
        <v>bbbb</v>
      </c>
      <c r="E19" s="6"/>
    </row>
    <row r="20" spans="2:5">
      <c r="C20" s="193" t="s">
        <v>726</v>
      </c>
      <c r="D20" s="6" t="str">
        <f t="shared" si="2"/>
        <v>cc</v>
      </c>
      <c r="E20" s="6"/>
    </row>
    <row r="22" spans="2:5">
      <c r="B22" t="s">
        <v>727</v>
      </c>
    </row>
    <row r="23" spans="2:5">
      <c r="C23" t="s">
        <v>728</v>
      </c>
      <c r="D23" s="6" t="str">
        <f>MID(C23,FIND("-",C23,FIND("-",C23)+1)+1,10)</f>
        <v>8795</v>
      </c>
      <c r="E23" s="6"/>
    </row>
    <row r="24" spans="2:5">
      <c r="C24" t="s">
        <v>729</v>
      </c>
      <c r="D24" s="6" t="str">
        <f>MID(C24,FIND("-",C24,FIND("-",C24)+1)+1,10)</f>
        <v>959</v>
      </c>
      <c r="E24" s="6"/>
    </row>
    <row r="25" spans="2:5">
      <c r="C25" t="s">
        <v>730</v>
      </c>
      <c r="D25" s="6" t="str">
        <f>MID(C25,FIND("-",C25,FIND("-",C25)+1)+1,10)</f>
        <v>96975</v>
      </c>
      <c r="E25" s="6"/>
    </row>
    <row r="27" spans="2:5">
      <c r="B27" t="s">
        <v>731</v>
      </c>
    </row>
    <row r="28" spans="2:5">
      <c r="C28" t="s">
        <v>717</v>
      </c>
      <c r="D28" s="6" t="str">
        <f t="shared" ref="D28:D29" si="3">IF(ISNUMBER(FIND("남구",C28)),"행사지역","")</f>
        <v/>
      </c>
      <c r="E28" s="6"/>
    </row>
    <row r="29" spans="2:5">
      <c r="C29" t="s">
        <v>732</v>
      </c>
      <c r="D29" s="6" t="str">
        <f t="shared" si="3"/>
        <v/>
      </c>
      <c r="E29" s="6"/>
    </row>
    <row r="30" spans="2:5">
      <c r="C30" t="s">
        <v>733</v>
      </c>
      <c r="D30" s="6" t="str">
        <f>IF(ISNUMBER(FIND("남구",C30)),"행사지역","")</f>
        <v>행사지역</v>
      </c>
      <c r="E30" s="6"/>
    </row>
    <row r="31" spans="2:5">
      <c r="C31" t="s">
        <v>734</v>
      </c>
      <c r="D31" s="6" t="str">
        <f>IF(ISNUMBER(FIND("남구",C31)),"행사지역","")</f>
        <v/>
      </c>
      <c r="E31" s="6"/>
    </row>
    <row r="32" spans="2:5">
      <c r="C32" t="s">
        <v>735</v>
      </c>
      <c r="D32" s="6" t="str">
        <f>IF(ISNUMBER(FIND("남구",C32)),"행사지역","")</f>
        <v/>
      </c>
      <c r="E32" s="6"/>
    </row>
    <row r="33" spans="3:5">
      <c r="C33" t="s">
        <v>736</v>
      </c>
      <c r="D33" s="6" t="str">
        <f>IF(ISNUMBER(FIND("남구",C33)),"행사지역","")</f>
        <v>행사지역</v>
      </c>
      <c r="E33" s="6"/>
    </row>
  </sheetData>
  <phoneticPr fontId="2" type="noConversion"/>
  <pageMargins left="0.7" right="0.7" top="0.75" bottom="0.75" header="0.3" footer="0.3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7CCB6F-97B0-4820-84E1-449C394C7461}">
  <sheetPr codeName="Sheet39"/>
  <dimension ref="B1:Y39"/>
  <sheetViews>
    <sheetView workbookViewId="0">
      <selection activeCell="B1" sqref="B1"/>
    </sheetView>
  </sheetViews>
  <sheetFormatPr defaultRowHeight="16.5"/>
  <cols>
    <col min="1" max="2" width="3.375" customWidth="1"/>
    <col min="3" max="3" width="15" customWidth="1"/>
    <col min="4" max="4" width="3.375" customWidth="1"/>
    <col min="5" max="5" width="14" customWidth="1"/>
    <col min="6" max="6" width="2.75" customWidth="1"/>
    <col min="7" max="7" width="14.625" customWidth="1"/>
    <col min="8" max="8" width="3.625" customWidth="1"/>
    <col min="9" max="9" width="3" customWidth="1"/>
    <col min="10" max="10" width="3.25" customWidth="1"/>
    <col min="11" max="18" width="8.75" customWidth="1"/>
    <col min="19" max="22" width="4" customWidth="1"/>
    <col min="23" max="30" width="4.5" customWidth="1"/>
  </cols>
  <sheetData>
    <row r="1" spans="2:23" ht="17.25" thickBot="1"/>
    <row r="2" spans="2:23" ht="7.5" customHeight="1">
      <c r="B2" s="194"/>
      <c r="C2" s="195"/>
      <c r="D2" s="195"/>
      <c r="E2" s="195"/>
      <c r="F2" s="195"/>
      <c r="G2" s="195"/>
      <c r="H2" s="196"/>
      <c r="J2" s="194"/>
      <c r="K2" s="195"/>
      <c r="L2" s="195"/>
      <c r="M2" s="195"/>
      <c r="N2" s="195"/>
      <c r="O2" s="195"/>
      <c r="P2" s="195"/>
      <c r="Q2" s="195"/>
      <c r="R2" s="195"/>
      <c r="S2" s="196"/>
    </row>
    <row r="3" spans="2:23" ht="20.25">
      <c r="B3" s="197"/>
      <c r="C3" s="198" t="s">
        <v>737</v>
      </c>
      <c r="D3" s="200"/>
      <c r="E3" s="200"/>
      <c r="F3" s="200"/>
      <c r="G3" s="200"/>
      <c r="H3" s="199"/>
      <c r="J3" s="197"/>
      <c r="K3" s="198" t="s">
        <v>738</v>
      </c>
      <c r="L3" s="200"/>
      <c r="M3" s="200"/>
      <c r="N3" s="200"/>
      <c r="O3" s="200"/>
      <c r="P3" s="200"/>
      <c r="Q3" s="200"/>
      <c r="R3" s="200"/>
      <c r="S3" s="199"/>
    </row>
    <row r="4" spans="2:23">
      <c r="B4" s="197"/>
      <c r="C4" s="200"/>
      <c r="D4" s="200"/>
      <c r="E4" s="208">
        <v>10000</v>
      </c>
      <c r="F4" s="200"/>
      <c r="G4" s="208">
        <v>10000</v>
      </c>
      <c r="H4" s="199"/>
      <c r="J4" s="197"/>
      <c r="K4" s="201" t="s">
        <v>739</v>
      </c>
      <c r="L4" s="201">
        <v>2018</v>
      </c>
      <c r="M4" s="201">
        <v>12</v>
      </c>
      <c r="N4" s="201">
        <v>5</v>
      </c>
      <c r="O4" s="201" t="s">
        <v>740</v>
      </c>
      <c r="P4" s="201">
        <v>2018</v>
      </c>
      <c r="Q4" s="201">
        <v>11</v>
      </c>
      <c r="R4" s="201">
        <v>30</v>
      </c>
      <c r="S4" s="199"/>
    </row>
    <row r="5" spans="2:23">
      <c r="B5" s="197"/>
      <c r="C5" s="202">
        <v>1000</v>
      </c>
      <c r="D5" s="200"/>
      <c r="E5" s="208">
        <v>3000</v>
      </c>
      <c r="F5" s="200"/>
      <c r="G5" s="208">
        <v>3000</v>
      </c>
      <c r="H5" s="199"/>
      <c r="J5" s="197"/>
      <c r="L5" s="201"/>
      <c r="M5" s="201"/>
      <c r="N5" s="201"/>
      <c r="O5" s="201"/>
      <c r="P5" s="201"/>
      <c r="Q5" s="201"/>
      <c r="R5" s="201"/>
      <c r="S5" s="199"/>
    </row>
    <row r="6" spans="2:23">
      <c r="B6" s="197"/>
      <c r="C6" s="210">
        <v>1000</v>
      </c>
      <c r="D6" s="200"/>
      <c r="E6" s="212">
        <f>SUM(E4:E5)</f>
        <v>13000</v>
      </c>
      <c r="F6" s="200"/>
      <c r="G6" s="208" t="str">
        <f>TEXT(SUM(G4:G5),"#,##0원")</f>
        <v>13,000원</v>
      </c>
      <c r="H6" s="199"/>
      <c r="J6" s="197"/>
      <c r="K6" s="200"/>
      <c r="L6" s="200"/>
      <c r="M6" s="200"/>
      <c r="N6" s="200"/>
      <c r="O6" s="200"/>
      <c r="P6" s="200"/>
      <c r="Q6" s="200"/>
      <c r="R6" s="200"/>
      <c r="S6" s="199"/>
    </row>
    <row r="7" spans="2:23">
      <c r="B7" s="197"/>
      <c r="C7" s="200"/>
      <c r="D7" s="200"/>
      <c r="E7" s="208"/>
      <c r="F7" s="200"/>
      <c r="G7" s="208"/>
      <c r="H7" s="199"/>
      <c r="J7" s="197"/>
      <c r="K7" s="213" t="str">
        <f>"기간 : "&amp;TEXT(DATE(L4,M4,N4),"YYYY년 M월 D일" )&amp;" ~ "&amp;TEXT(DATE(P4,Q4,R4),"YYYY년 M월 D일" )</f>
        <v>기간 : 2018년 12월 5일 ~ 2018년 11월 30일</v>
      </c>
      <c r="L7" s="200"/>
      <c r="M7" s="200"/>
      <c r="N7" s="200"/>
      <c r="O7" s="200"/>
      <c r="P7" s="200"/>
      <c r="Q7" s="200"/>
      <c r="R7" s="200"/>
      <c r="S7" s="199"/>
    </row>
    <row r="8" spans="2:23">
      <c r="B8" s="197"/>
      <c r="C8" s="211">
        <v>1000</v>
      </c>
      <c r="D8" s="200"/>
      <c r="E8" s="208"/>
      <c r="F8" s="200"/>
      <c r="G8" s="208"/>
      <c r="H8" s="199"/>
      <c r="J8" s="197"/>
      <c r="K8" s="203"/>
      <c r="L8" s="203"/>
      <c r="M8" s="203"/>
      <c r="N8" s="203"/>
      <c r="O8" s="203"/>
      <c r="P8" s="203"/>
      <c r="Q8" s="203"/>
      <c r="R8" s="203"/>
      <c r="S8" s="199"/>
    </row>
    <row r="9" spans="2:23">
      <c r="B9" s="197"/>
      <c r="C9" s="191" t="str">
        <f>TEXT(C8,"#,##0")</f>
        <v>1,000</v>
      </c>
      <c r="D9" s="200"/>
      <c r="E9" s="208"/>
      <c r="F9" s="200"/>
      <c r="G9" s="208"/>
      <c r="H9" s="199"/>
      <c r="J9" s="197"/>
      <c r="K9" s="204"/>
      <c r="L9" s="204"/>
      <c r="M9" s="204"/>
      <c r="N9" s="204"/>
      <c r="O9" s="204"/>
      <c r="P9" s="204"/>
      <c r="Q9" s="204"/>
      <c r="R9" s="204"/>
      <c r="S9" s="199"/>
    </row>
    <row r="10" spans="2:23" ht="17.25" thickBot="1">
      <c r="B10" s="205"/>
      <c r="C10" s="206"/>
      <c r="D10" s="206"/>
      <c r="E10" s="206"/>
      <c r="F10" s="206"/>
      <c r="G10" s="206"/>
      <c r="H10" s="207"/>
      <c r="J10" s="197"/>
      <c r="K10" s="204"/>
      <c r="L10" s="204"/>
      <c r="M10" s="204"/>
      <c r="N10" s="204"/>
      <c r="O10" s="204"/>
      <c r="P10" s="204"/>
      <c r="Q10" s="204"/>
      <c r="R10" s="204"/>
      <c r="S10" s="199"/>
    </row>
    <row r="11" spans="2:23" ht="17.25" thickBot="1">
      <c r="J11" s="197"/>
      <c r="K11" s="204"/>
      <c r="L11" s="204"/>
      <c r="M11" s="204"/>
      <c r="N11" s="204"/>
      <c r="O11" s="204"/>
      <c r="P11" s="204"/>
      <c r="Q11" s="204"/>
      <c r="R11" s="204"/>
      <c r="S11" s="199"/>
    </row>
    <row r="12" spans="2:23">
      <c r="B12" s="194"/>
      <c r="C12" s="195"/>
      <c r="D12" s="195"/>
      <c r="E12" s="195"/>
      <c r="F12" s="195"/>
      <c r="G12" s="195"/>
      <c r="H12" s="196"/>
      <c r="J12" s="197"/>
      <c r="K12" s="204"/>
      <c r="L12" s="204"/>
      <c r="M12" s="204"/>
      <c r="N12" s="204"/>
      <c r="O12" s="204"/>
      <c r="P12" s="204"/>
      <c r="Q12" s="204"/>
      <c r="R12" s="204"/>
      <c r="S12" s="199"/>
    </row>
    <row r="13" spans="2:23" ht="21" thickBot="1">
      <c r="B13" s="197"/>
      <c r="C13" s="198" t="s">
        <v>741</v>
      </c>
      <c r="D13" s="200"/>
      <c r="E13" s="200"/>
      <c r="F13" s="200"/>
      <c r="G13" s="200"/>
      <c r="H13" s="199"/>
      <c r="J13" s="205"/>
      <c r="K13" s="206"/>
      <c r="L13" s="206"/>
      <c r="M13" s="206"/>
      <c r="N13" s="206"/>
      <c r="O13" s="206"/>
      <c r="P13" s="206"/>
      <c r="Q13" s="206"/>
      <c r="R13" s="206"/>
      <c r="S13" s="207"/>
    </row>
    <row r="14" spans="2:23" ht="17.25" thickBot="1">
      <c r="B14" s="197"/>
      <c r="C14" s="200" t="s">
        <v>742</v>
      </c>
      <c r="D14" s="200"/>
      <c r="E14" s="200"/>
      <c r="F14" s="200"/>
      <c r="G14" s="200"/>
      <c r="H14" s="199"/>
    </row>
    <row r="15" spans="2:23">
      <c r="B15" s="197"/>
      <c r="C15" s="192" t="s">
        <v>743</v>
      </c>
      <c r="D15" s="200"/>
      <c r="E15" s="192" t="s">
        <v>744</v>
      </c>
      <c r="F15" s="200"/>
      <c r="G15" s="192" t="s">
        <v>745</v>
      </c>
      <c r="H15" s="199"/>
      <c r="J15" s="194"/>
      <c r="K15" s="195"/>
      <c r="L15" s="195"/>
      <c r="M15" s="195"/>
      <c r="N15" s="195"/>
      <c r="O15" s="195"/>
      <c r="P15" s="195"/>
      <c r="Q15" s="195"/>
      <c r="R15" s="195"/>
      <c r="S15" s="195"/>
      <c r="T15" s="195"/>
      <c r="U15" s="195"/>
      <c r="V15" s="195"/>
      <c r="W15" s="196"/>
    </row>
    <row r="16" spans="2:23" ht="20.25">
      <c r="B16" s="197"/>
      <c r="C16" s="202">
        <v>1000</v>
      </c>
      <c r="D16" s="200"/>
      <c r="E16" s="202">
        <v>1000</v>
      </c>
      <c r="F16" s="200"/>
      <c r="G16" s="202">
        <v>1000</v>
      </c>
      <c r="H16" s="199"/>
      <c r="J16" s="197"/>
      <c r="K16" s="198" t="s">
        <v>746</v>
      </c>
      <c r="L16" s="200"/>
      <c r="M16" s="200"/>
      <c r="N16" s="200"/>
      <c r="O16" s="200"/>
      <c r="P16" s="200"/>
      <c r="Q16" s="200"/>
      <c r="R16" s="200"/>
      <c r="S16" s="200"/>
      <c r="T16" s="200"/>
      <c r="U16" s="200"/>
      <c r="V16" s="200"/>
      <c r="W16" s="199"/>
    </row>
    <row r="17" spans="2:25">
      <c r="B17" s="197"/>
      <c r="C17" s="202">
        <v>2000</v>
      </c>
      <c r="D17" s="200"/>
      <c r="E17" s="202">
        <v>2000</v>
      </c>
      <c r="F17" s="200"/>
      <c r="G17" s="202">
        <v>2000</v>
      </c>
      <c r="H17" s="199"/>
      <c r="J17" s="197"/>
      <c r="K17" s="200"/>
      <c r="L17" s="200"/>
      <c r="M17" s="200"/>
      <c r="N17" s="200"/>
      <c r="O17" s="200"/>
      <c r="P17" s="200"/>
      <c r="Q17" s="200"/>
      <c r="R17" s="200"/>
      <c r="S17" s="200"/>
      <c r="T17" s="200"/>
      <c r="U17" s="200"/>
      <c r="V17" s="200"/>
      <c r="W17" s="199"/>
    </row>
    <row r="18" spans="2:25">
      <c r="B18" s="197"/>
      <c r="C18" s="202">
        <v>3000</v>
      </c>
      <c r="D18" s="200"/>
      <c r="E18" s="202">
        <v>3000</v>
      </c>
      <c r="F18" s="200"/>
      <c r="G18" s="202">
        <v>3000</v>
      </c>
      <c r="H18" s="199"/>
      <c r="J18" s="197"/>
      <c r="K18" s="190" t="s">
        <v>206</v>
      </c>
      <c r="L18" s="191" t="s">
        <v>747</v>
      </c>
      <c r="M18" s="191" t="s">
        <v>748</v>
      </c>
      <c r="N18" s="191" t="s">
        <v>749</v>
      </c>
      <c r="O18" s="191" t="s">
        <v>750</v>
      </c>
      <c r="P18" s="191" t="s">
        <v>751</v>
      </c>
      <c r="Q18" s="191" t="s">
        <v>752</v>
      </c>
      <c r="R18" s="191" t="s">
        <v>753</v>
      </c>
      <c r="S18" s="191" t="s">
        <v>754</v>
      </c>
      <c r="T18" s="191" t="s">
        <v>755</v>
      </c>
      <c r="U18" s="191" t="s">
        <v>756</v>
      </c>
      <c r="V18" s="191" t="s">
        <v>757</v>
      </c>
      <c r="W18" s="13"/>
    </row>
    <row r="19" spans="2:25">
      <c r="B19" s="197"/>
      <c r="C19" s="191" t="s">
        <v>758</v>
      </c>
      <c r="D19" s="200"/>
      <c r="E19" s="209">
        <f>SUM(E16:E18)</f>
        <v>6000</v>
      </c>
      <c r="F19" s="200"/>
      <c r="G19" s="191" t="str">
        <f>"합계 : "&amp;TEXT(SUM(G16:G18),"#,##0원")</f>
        <v>합계 : 6,000원</v>
      </c>
      <c r="H19" s="199"/>
      <c r="J19" s="197"/>
      <c r="K19" s="204">
        <v>12890567</v>
      </c>
      <c r="L19" s="204"/>
      <c r="M19" s="204"/>
      <c r="N19" s="204"/>
      <c r="O19" s="204"/>
      <c r="P19" s="204"/>
      <c r="Q19" s="204"/>
      <c r="R19" s="204"/>
      <c r="S19" s="204"/>
      <c r="T19" s="204"/>
      <c r="U19" s="204"/>
      <c r="V19" s="204"/>
      <c r="W19" s="199"/>
      <c r="Y19" s="52" t="s">
        <v>761</v>
      </c>
    </row>
    <row r="20" spans="2:25">
      <c r="B20" s="197"/>
      <c r="C20" s="200"/>
      <c r="D20" s="200"/>
      <c r="E20" s="200"/>
      <c r="F20" s="200"/>
      <c r="G20" s="200"/>
      <c r="H20" s="199"/>
      <c r="J20" s="197"/>
      <c r="K20" s="204">
        <v>20</v>
      </c>
      <c r="L20" s="204"/>
      <c r="M20" s="204"/>
      <c r="N20" s="204"/>
      <c r="O20" s="204"/>
      <c r="P20" s="204"/>
      <c r="Q20" s="204"/>
      <c r="R20" s="204"/>
      <c r="S20" s="204"/>
      <c r="T20" s="204"/>
      <c r="U20" s="204"/>
      <c r="V20" s="204"/>
      <c r="W20" s="199"/>
    </row>
    <row r="21" spans="2:25">
      <c r="B21" s="197"/>
      <c r="C21" s="200" t="s">
        <v>759</v>
      </c>
      <c r="D21" s="200"/>
      <c r="E21" s="200"/>
      <c r="F21" s="200"/>
      <c r="G21" s="200"/>
      <c r="H21" s="199"/>
      <c r="J21" s="197"/>
      <c r="K21" s="204">
        <v>3000</v>
      </c>
      <c r="L21" s="204"/>
      <c r="M21" s="204"/>
      <c r="N21" s="204"/>
      <c r="O21" s="204"/>
      <c r="P21" s="204"/>
      <c r="Q21" s="204"/>
      <c r="R21" s="204"/>
      <c r="S21" s="204"/>
      <c r="T21" s="204"/>
      <c r="U21" s="204"/>
      <c r="V21" s="204"/>
      <c r="W21" s="199"/>
    </row>
    <row r="22" spans="2:25" ht="17.25" thickBot="1">
      <c r="B22" s="197"/>
      <c r="C22" s="192" t="s">
        <v>743</v>
      </c>
      <c r="E22" s="192" t="s">
        <v>744</v>
      </c>
      <c r="F22" s="200"/>
      <c r="G22" s="192" t="s">
        <v>745</v>
      </c>
      <c r="H22" s="199"/>
      <c r="J22" s="205"/>
      <c r="K22" s="214" t="s">
        <v>761</v>
      </c>
      <c r="L22" s="206"/>
      <c r="M22" s="206"/>
      <c r="N22" s="206"/>
      <c r="O22" s="206"/>
      <c r="P22" s="206"/>
      <c r="Q22" s="206"/>
      <c r="R22" s="206"/>
      <c r="S22" s="206"/>
      <c r="T22" s="206"/>
      <c r="U22" s="206"/>
      <c r="V22" s="206"/>
      <c r="W22" s="207"/>
    </row>
    <row r="23" spans="2:25">
      <c r="B23" s="197"/>
      <c r="C23" s="202">
        <v>1000</v>
      </c>
      <c r="D23" s="200"/>
      <c r="E23" s="202">
        <v>1000</v>
      </c>
      <c r="F23" s="200"/>
      <c r="G23" s="202">
        <v>1000</v>
      </c>
      <c r="H23" s="199"/>
    </row>
    <row r="24" spans="2:25">
      <c r="B24" s="197"/>
      <c r="C24" s="202">
        <v>2000</v>
      </c>
      <c r="D24" s="200"/>
      <c r="E24" s="202">
        <v>2000</v>
      </c>
      <c r="F24" s="200"/>
      <c r="G24" s="202">
        <v>2000</v>
      </c>
      <c r="H24" s="199"/>
    </row>
    <row r="25" spans="2:25">
      <c r="B25" s="197"/>
      <c r="C25" s="202">
        <v>3000</v>
      </c>
      <c r="D25" s="200"/>
      <c r="E25" s="202">
        <v>3000</v>
      </c>
      <c r="F25" s="200"/>
      <c r="G25" s="202">
        <v>3000</v>
      </c>
      <c r="H25" s="199"/>
    </row>
    <row r="26" spans="2:25">
      <c r="B26" s="197"/>
      <c r="C26" s="191" t="s">
        <v>760</v>
      </c>
      <c r="D26" s="200"/>
      <c r="E26" s="210" t="str">
        <f>SUM(E23:E25)&amp;"("&amp;AVERAGE(E23:E25)&amp;")"</f>
        <v>6000(2000)</v>
      </c>
      <c r="F26" s="200"/>
      <c r="G26" s="191" t="str">
        <f>TEXT(SUM(G23:G25),"#,##0")&amp;"("&amp;TEXT(AVERAGE(G23:G25),"#,##0")&amp;")"</f>
        <v>6,000(2,000)</v>
      </c>
      <c r="H26" s="199"/>
    </row>
    <row r="27" spans="2:25" ht="17.25" thickBot="1">
      <c r="B27" s="205"/>
      <c r="C27" s="206"/>
      <c r="D27" s="206"/>
      <c r="E27" s="206"/>
      <c r="F27" s="206"/>
      <c r="G27" s="206"/>
      <c r="H27" s="207"/>
    </row>
    <row r="38" spans="11:11">
      <c r="K38">
        <v>1000</v>
      </c>
    </row>
    <row r="39" spans="11:11">
      <c r="K39">
        <v>12000</v>
      </c>
    </row>
  </sheetData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38</vt:i4>
      </vt:variant>
      <vt:variant>
        <vt:lpstr>이름 지정된 범위</vt:lpstr>
      </vt:variant>
      <vt:variant>
        <vt:i4>2</vt:i4>
      </vt:variant>
    </vt:vector>
  </HeadingPairs>
  <TitlesOfParts>
    <vt:vector size="40" baseType="lpstr">
      <vt:lpstr>목차</vt:lpstr>
      <vt:lpstr>SUM</vt:lpstr>
      <vt:lpstr>AVERAGE</vt:lpstr>
      <vt:lpstr>AND,OR</vt:lpstr>
      <vt:lpstr>MID,LEFT,RIGHT</vt:lpstr>
      <vt:lpstr>RANK</vt:lpstr>
      <vt:lpstr>IF</vt:lpstr>
      <vt:lpstr>ROUND</vt:lpstr>
      <vt:lpstr>TRUNC</vt:lpstr>
      <vt:lpstr>INT</vt:lpstr>
      <vt:lpstr>ROUND,TRUNC,INT비교</vt:lpstr>
      <vt:lpstr>MAX,MIN,LARGE,SMALL</vt:lpstr>
      <vt:lpstr>COUNT계열</vt:lpstr>
      <vt:lpstr>SUMIF,AVERAGEIF</vt:lpstr>
      <vt:lpstr>DB함수_DSUM,DAVERAGE</vt:lpstr>
      <vt:lpstr>DB함수_DCOUNT,DCOUNTA</vt:lpstr>
      <vt:lpstr>SUMIF와 DSUM의 차이</vt:lpstr>
      <vt:lpstr>SUMPRODUCT</vt:lpstr>
      <vt:lpstr>날짜_기초</vt:lpstr>
      <vt:lpstr>날짜_기초2</vt:lpstr>
      <vt:lpstr>날짜_WEEKDAY</vt:lpstr>
      <vt:lpstr>날짜_EOMONTH</vt:lpstr>
      <vt:lpstr>날짜_DATEDIF</vt:lpstr>
      <vt:lpstr>날짜_WORKDAY</vt:lpstr>
      <vt:lpstr>날짜_NETWORKDAYS</vt:lpstr>
      <vt:lpstr>년도별 공휴일</vt:lpstr>
      <vt:lpstr>VALUE</vt:lpstr>
      <vt:lpstr>INDEX</vt:lpstr>
      <vt:lpstr>MATCH</vt:lpstr>
      <vt:lpstr>LOOKUP</vt:lpstr>
      <vt:lpstr>MOD</vt:lpstr>
      <vt:lpstr>CHOOSE</vt:lpstr>
      <vt:lpstr>CHOOSE_2</vt:lpstr>
      <vt:lpstr>REPT</vt:lpstr>
      <vt:lpstr>ROW&amp;COLUMN</vt:lpstr>
      <vt:lpstr>ROWS&amp;COLUMNS</vt:lpstr>
      <vt:lpstr>FIND&amp;SEARCH</vt:lpstr>
      <vt:lpstr>TEXT</vt:lpstr>
      <vt:lpstr>공휴일_2017</vt:lpstr>
      <vt:lpstr>공휴일_2018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엑셀레이터</dc:creator>
  <cp:lastModifiedBy>엑셀레이터</cp:lastModifiedBy>
  <dcterms:created xsi:type="dcterms:W3CDTF">2017-09-15T02:16:15Z</dcterms:created>
  <dcterms:modified xsi:type="dcterms:W3CDTF">2018-02-05T07:41:40Z</dcterms:modified>
</cp:coreProperties>
</file>